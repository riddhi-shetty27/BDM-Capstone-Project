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818def4d35aa2/Desktop/Riddhi Shetty/BDM PROJECT/"/>
    </mc:Choice>
  </mc:AlternateContent>
  <xr:revisionPtr revIDLastSave="1359" documentId="8_{4D4C6D7B-EDBA-482E-AA78-51F4D5BCAB46}" xr6:coauthVersionLast="47" xr6:coauthVersionMax="47" xr10:uidLastSave="{3988B3D3-7D1C-40F5-86F3-40FCA90C2E2A}"/>
  <bookViews>
    <workbookView xWindow="-110" yWindow="-110" windowWidth="19420" windowHeight="10300" xr2:uid="{813EE449-FE9B-4760-A4E5-FD93A707DD9E}"/>
  </bookViews>
  <sheets>
    <sheet name="Item Inventory" sheetId="1" r:id="rId1"/>
    <sheet name="Inventory Control" sheetId="4" r:id="rId2"/>
  </sheets>
  <externalReferences>
    <externalReference r:id="rId3"/>
  </externalReferences>
  <definedNames>
    <definedName name="_xlnm._FilterDatabase" localSheetId="0" hidden="1">'Item Inventory'!$A$2:$K$218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I24" i="1"/>
  <c r="H3" i="1"/>
  <c r="I3" i="1" s="1"/>
  <c r="I8" i="1"/>
  <c r="I11" i="1"/>
  <c r="I12" i="1"/>
  <c r="I13" i="1"/>
  <c r="I14" i="1"/>
  <c r="I21" i="1"/>
  <c r="I22" i="1"/>
  <c r="I23" i="1"/>
  <c r="I50" i="1"/>
  <c r="I51" i="1"/>
  <c r="I52" i="1"/>
  <c r="I53" i="1"/>
  <c r="I54" i="1"/>
  <c r="I55" i="1"/>
  <c r="I74" i="1"/>
  <c r="I77" i="1"/>
  <c r="I82" i="1"/>
  <c r="I84" i="1"/>
  <c r="I90" i="1"/>
  <c r="I91" i="1"/>
  <c r="I94" i="1"/>
  <c r="I106" i="1"/>
  <c r="I110" i="1"/>
  <c r="I111" i="1"/>
  <c r="I112" i="1"/>
  <c r="I113" i="1"/>
  <c r="I114" i="1"/>
  <c r="I126" i="1"/>
  <c r="I127" i="1"/>
  <c r="I128" i="1"/>
  <c r="I129" i="1"/>
  <c r="I137" i="1"/>
  <c r="I140" i="1"/>
  <c r="I148" i="1"/>
  <c r="I149" i="1"/>
  <c r="I150" i="1"/>
  <c r="I157" i="1"/>
  <c r="I158" i="1"/>
  <c r="I163" i="1"/>
  <c r="I165" i="1"/>
  <c r="I166" i="1"/>
  <c r="I169" i="1"/>
  <c r="I172" i="1"/>
  <c r="I173" i="1"/>
  <c r="I174" i="1"/>
  <c r="I176" i="1"/>
  <c r="I179" i="1"/>
  <c r="I180" i="1"/>
  <c r="I181" i="1"/>
  <c r="I185" i="1"/>
  <c r="I186" i="1"/>
  <c r="I189" i="1"/>
  <c r="I191" i="1"/>
  <c r="I192" i="1"/>
  <c r="I194" i="1"/>
  <c r="I195" i="1"/>
  <c r="I196" i="1"/>
  <c r="I215" i="1"/>
  <c r="H4" i="1"/>
  <c r="I4" i="1" s="1"/>
  <c r="I5" i="1"/>
  <c r="H6" i="1"/>
  <c r="I6" i="1" s="1"/>
  <c r="H7" i="1"/>
  <c r="I7" i="1" s="1"/>
  <c r="H9" i="1"/>
  <c r="I9" i="1" s="1"/>
  <c r="H10" i="1"/>
  <c r="I10" i="1" s="1"/>
  <c r="H15" i="1"/>
  <c r="I15" i="1" s="1"/>
  <c r="H16" i="1"/>
  <c r="I16" i="1" s="1"/>
  <c r="H17" i="1"/>
  <c r="I17" i="1" s="1"/>
  <c r="I18" i="1"/>
  <c r="H19" i="1"/>
  <c r="I19" i="1" s="1"/>
  <c r="H20" i="1"/>
  <c r="I20" i="1" s="1"/>
  <c r="H25" i="1"/>
  <c r="I25" i="1" s="1"/>
  <c r="H26" i="1"/>
  <c r="I26" i="1" s="1"/>
  <c r="H27" i="1"/>
  <c r="I27" i="1" s="1"/>
  <c r="H29" i="1"/>
  <c r="I29" i="1" s="1"/>
  <c r="H30" i="1"/>
  <c r="I30" i="1" s="1"/>
  <c r="H31" i="1"/>
  <c r="I31" i="1" s="1"/>
  <c r="H32" i="1"/>
  <c r="I32" i="1" s="1"/>
  <c r="H33" i="1"/>
  <c r="I33" i="1" s="1"/>
  <c r="I34" i="1"/>
  <c r="H35" i="1"/>
  <c r="I35" i="1" s="1"/>
  <c r="H36" i="1"/>
  <c r="I36" i="1" s="1"/>
  <c r="H37" i="1"/>
  <c r="I37" i="1" s="1"/>
  <c r="H38" i="1"/>
  <c r="I38" i="1" s="1"/>
  <c r="I39" i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5" i="1"/>
  <c r="I75" i="1" s="1"/>
  <c r="H76" i="1"/>
  <c r="I76" i="1" s="1"/>
  <c r="H78" i="1"/>
  <c r="I78" i="1" s="1"/>
  <c r="H79" i="1"/>
  <c r="I79" i="1" s="1"/>
  <c r="H80" i="1"/>
  <c r="I80" i="1" s="1"/>
  <c r="H81" i="1"/>
  <c r="I81" i="1" s="1"/>
  <c r="H83" i="1"/>
  <c r="I83" i="1" s="1"/>
  <c r="H85" i="1"/>
  <c r="I85" i="1" s="1"/>
  <c r="H86" i="1"/>
  <c r="I86" i="1" s="1"/>
  <c r="H87" i="1"/>
  <c r="I87" i="1" s="1"/>
  <c r="H88" i="1"/>
  <c r="I88" i="1" s="1"/>
  <c r="H89" i="1"/>
  <c r="I89" i="1" s="1"/>
  <c r="H92" i="1"/>
  <c r="I92" i="1" s="1"/>
  <c r="H93" i="1"/>
  <c r="I93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7" i="1"/>
  <c r="I107" i="1" s="1"/>
  <c r="H108" i="1"/>
  <c r="I108" i="1" s="1"/>
  <c r="H109" i="1"/>
  <c r="I109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8" i="1"/>
  <c r="I138" i="1" s="1"/>
  <c r="H139" i="1"/>
  <c r="I139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9" i="1"/>
  <c r="I159" i="1" s="1"/>
  <c r="H160" i="1"/>
  <c r="I160" i="1" s="1"/>
  <c r="H161" i="1"/>
  <c r="I161" i="1" s="1"/>
  <c r="H162" i="1"/>
  <c r="I162" i="1" s="1"/>
  <c r="H164" i="1"/>
  <c r="I164" i="1" s="1"/>
  <c r="H167" i="1"/>
  <c r="I167" i="1" s="1"/>
  <c r="H168" i="1"/>
  <c r="I168" i="1" s="1"/>
  <c r="H170" i="1"/>
  <c r="I170" i="1" s="1"/>
  <c r="H171" i="1"/>
  <c r="I171" i="1" s="1"/>
  <c r="H175" i="1"/>
  <c r="I175" i="1" s="1"/>
  <c r="H177" i="1"/>
  <c r="I177" i="1" s="1"/>
  <c r="H178" i="1"/>
  <c r="I178" i="1" s="1"/>
  <c r="H182" i="1"/>
  <c r="I182" i="1" s="1"/>
  <c r="H183" i="1"/>
  <c r="I183" i="1" s="1"/>
  <c r="H184" i="1"/>
  <c r="I184" i="1" s="1"/>
  <c r="H187" i="1"/>
  <c r="I187" i="1" s="1"/>
  <c r="H188" i="1"/>
  <c r="I188" i="1" s="1"/>
  <c r="H190" i="1"/>
  <c r="I190" i="1" s="1"/>
  <c r="H193" i="1"/>
  <c r="I193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6" i="1"/>
  <c r="I216" i="1" s="1"/>
  <c r="H217" i="1"/>
  <c r="I217" i="1" s="1"/>
  <c r="H218" i="1"/>
  <c r="I218" i="1" s="1"/>
  <c r="J4" i="1"/>
  <c r="J5" i="1"/>
  <c r="J6" i="1"/>
  <c r="J7" i="1"/>
  <c r="J9" i="1"/>
  <c r="J10" i="1"/>
  <c r="J196" i="1"/>
  <c r="J12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194" i="1"/>
  <c r="J51" i="1"/>
  <c r="J191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5" i="1"/>
  <c r="J76" i="1"/>
  <c r="J78" i="1"/>
  <c r="J79" i="1"/>
  <c r="J80" i="1"/>
  <c r="J81" i="1"/>
  <c r="J185" i="1"/>
  <c r="J83" i="1"/>
  <c r="J181" i="1"/>
  <c r="J85" i="1"/>
  <c r="J86" i="1"/>
  <c r="J87" i="1"/>
  <c r="J88" i="1"/>
  <c r="J89" i="1"/>
  <c r="J180" i="1"/>
  <c r="J92" i="1"/>
  <c r="J93" i="1"/>
  <c r="J176" i="1"/>
  <c r="J95" i="1"/>
  <c r="J96" i="1"/>
  <c r="J97" i="1"/>
  <c r="J98" i="1"/>
  <c r="J99" i="1"/>
  <c r="J100" i="1"/>
  <c r="J101" i="1"/>
  <c r="J102" i="1"/>
  <c r="J103" i="1"/>
  <c r="J104" i="1"/>
  <c r="J105" i="1"/>
  <c r="J174" i="1"/>
  <c r="J107" i="1"/>
  <c r="J108" i="1"/>
  <c r="J109" i="1"/>
  <c r="J169" i="1"/>
  <c r="J166" i="1"/>
  <c r="J165" i="1"/>
  <c r="J115" i="1"/>
  <c r="J116" i="1"/>
  <c r="J117" i="1"/>
  <c r="J118" i="1"/>
  <c r="J119" i="1"/>
  <c r="J120" i="1"/>
  <c r="J121" i="1"/>
  <c r="J122" i="1"/>
  <c r="J123" i="1"/>
  <c r="J124" i="1"/>
  <c r="J125" i="1"/>
  <c r="J163" i="1"/>
  <c r="J157" i="1"/>
  <c r="J130" i="1"/>
  <c r="J131" i="1"/>
  <c r="J132" i="1"/>
  <c r="J133" i="1"/>
  <c r="J134" i="1"/>
  <c r="J135" i="1"/>
  <c r="J136" i="1"/>
  <c r="J138" i="1"/>
  <c r="J139" i="1"/>
  <c r="J141" i="1"/>
  <c r="J142" i="1"/>
  <c r="J143" i="1"/>
  <c r="J144" i="1"/>
  <c r="J145" i="1"/>
  <c r="J146" i="1"/>
  <c r="J147" i="1"/>
  <c r="J151" i="1"/>
  <c r="J152" i="1"/>
  <c r="J153" i="1"/>
  <c r="J154" i="1"/>
  <c r="J155" i="1"/>
  <c r="J156" i="1"/>
  <c r="J128" i="1"/>
  <c r="J159" i="1"/>
  <c r="J160" i="1"/>
  <c r="J161" i="1"/>
  <c r="J162" i="1"/>
  <c r="J126" i="1"/>
  <c r="J164" i="1"/>
  <c r="J114" i="1"/>
  <c r="J113" i="1"/>
  <c r="J167" i="1"/>
  <c r="J168" i="1"/>
  <c r="J112" i="1"/>
  <c r="J170" i="1"/>
  <c r="J171" i="1"/>
  <c r="J106" i="1"/>
  <c r="J175" i="1"/>
  <c r="J94" i="1"/>
  <c r="J177" i="1"/>
  <c r="J178" i="1"/>
  <c r="J90" i="1"/>
  <c r="J84" i="1"/>
  <c r="J182" i="1"/>
  <c r="J183" i="1"/>
  <c r="J184" i="1"/>
  <c r="J82" i="1"/>
  <c r="J187" i="1"/>
  <c r="J188" i="1"/>
  <c r="J190" i="1"/>
  <c r="J53" i="1"/>
  <c r="J193" i="1"/>
  <c r="J50" i="1"/>
  <c r="J11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6" i="1"/>
  <c r="J217" i="1"/>
  <c r="J218" i="1"/>
  <c r="J3" i="1"/>
  <c r="C3" i="4"/>
  <c r="K22" i="1" s="1"/>
  <c r="C4" i="4"/>
  <c r="K45" i="1" s="1"/>
  <c r="C5" i="4"/>
  <c r="K210" i="1" s="1"/>
  <c r="C6" i="4"/>
  <c r="K128" i="1" s="1"/>
  <c r="C7" i="4"/>
  <c r="K47" i="1" s="1"/>
  <c r="C8" i="4"/>
  <c r="K103" i="1" s="1"/>
  <c r="C9" i="4"/>
  <c r="K88" i="1" s="1"/>
  <c r="C10" i="4"/>
  <c r="K113" i="1" s="1"/>
  <c r="C11" i="4"/>
  <c r="K5" i="1" s="1"/>
  <c r="C12" i="4"/>
  <c r="K82" i="1" s="1"/>
  <c r="C13" i="4"/>
  <c r="K96" i="1" s="1"/>
  <c r="C14" i="4"/>
  <c r="K81" i="1" s="1"/>
  <c r="C15" i="4"/>
  <c r="K61" i="1" s="1"/>
  <c r="C2" i="4"/>
  <c r="K70" i="1" s="1"/>
  <c r="K37" i="1" l="1"/>
  <c r="K179" i="1"/>
  <c r="K188" i="1"/>
  <c r="K152" i="1"/>
  <c r="K141" i="1"/>
  <c r="K87" i="1"/>
  <c r="K33" i="1"/>
  <c r="K183" i="1"/>
  <c r="K149" i="1"/>
  <c r="K79" i="1"/>
  <c r="K29" i="1"/>
  <c r="K178" i="1"/>
  <c r="K150" i="1"/>
  <c r="K75" i="1"/>
  <c r="K25" i="1"/>
  <c r="K197" i="1"/>
  <c r="K218" i="1"/>
  <c r="K112" i="1"/>
  <c r="K116" i="1"/>
  <c r="K66" i="1"/>
  <c r="K20" i="1"/>
  <c r="K213" i="1"/>
  <c r="K114" i="1"/>
  <c r="K169" i="1"/>
  <c r="K62" i="1"/>
  <c r="K16" i="1"/>
  <c r="K209" i="1"/>
  <c r="K161" i="1"/>
  <c r="K99" i="1"/>
  <c r="K58" i="1"/>
  <c r="K12" i="1"/>
  <c r="K205" i="1"/>
  <c r="K156" i="1"/>
  <c r="K95" i="1"/>
  <c r="K54" i="1"/>
  <c r="K4" i="1"/>
  <c r="K217" i="1"/>
  <c r="K208" i="1"/>
  <c r="K200" i="1"/>
  <c r="K53" i="1"/>
  <c r="K182" i="1"/>
  <c r="K111" i="1"/>
  <c r="K164" i="1"/>
  <c r="K155" i="1"/>
  <c r="K144" i="1"/>
  <c r="K136" i="1"/>
  <c r="K157" i="1"/>
  <c r="K119" i="1"/>
  <c r="K173" i="1"/>
  <c r="K102" i="1"/>
  <c r="K176" i="1"/>
  <c r="K86" i="1"/>
  <c r="K78" i="1"/>
  <c r="K69" i="1"/>
  <c r="K191" i="1"/>
  <c r="K44" i="1"/>
  <c r="K36" i="1"/>
  <c r="K28" i="1"/>
  <c r="K19" i="1"/>
  <c r="K196" i="1"/>
  <c r="K216" i="1"/>
  <c r="K207" i="1"/>
  <c r="K199" i="1"/>
  <c r="K190" i="1"/>
  <c r="K84" i="1"/>
  <c r="K171" i="1"/>
  <c r="K126" i="1"/>
  <c r="K154" i="1"/>
  <c r="K143" i="1"/>
  <c r="K135" i="1"/>
  <c r="K163" i="1"/>
  <c r="K118" i="1"/>
  <c r="K109" i="1"/>
  <c r="K101" i="1"/>
  <c r="K93" i="1"/>
  <c r="K85" i="1"/>
  <c r="K186" i="1"/>
  <c r="K68" i="1"/>
  <c r="K60" i="1"/>
  <c r="K51" i="1"/>
  <c r="K43" i="1"/>
  <c r="K35" i="1"/>
  <c r="K27" i="1"/>
  <c r="K18" i="1"/>
  <c r="K10" i="1"/>
  <c r="K214" i="1"/>
  <c r="K206" i="1"/>
  <c r="K198" i="1"/>
  <c r="K74" i="1"/>
  <c r="K90" i="1"/>
  <c r="K170" i="1"/>
  <c r="K162" i="1"/>
  <c r="K153" i="1"/>
  <c r="K142" i="1"/>
  <c r="K134" i="1"/>
  <c r="K125" i="1"/>
  <c r="K117" i="1"/>
  <c r="K108" i="1"/>
  <c r="K100" i="1"/>
  <c r="K92" i="1"/>
  <c r="K181" i="1"/>
  <c r="K76" i="1"/>
  <c r="K67" i="1"/>
  <c r="K59" i="1"/>
  <c r="K194" i="1"/>
  <c r="K42" i="1"/>
  <c r="K34" i="1"/>
  <c r="K26" i="1"/>
  <c r="K17" i="1"/>
  <c r="K9" i="1"/>
  <c r="K133" i="1"/>
  <c r="K124" i="1"/>
  <c r="K107" i="1"/>
  <c r="K83" i="1"/>
  <c r="K49" i="1"/>
  <c r="K41" i="1"/>
  <c r="K215" i="1"/>
  <c r="K212" i="1"/>
  <c r="K204" i="1"/>
  <c r="K11" i="1"/>
  <c r="K187" i="1"/>
  <c r="K177" i="1"/>
  <c r="K168" i="1"/>
  <c r="K160" i="1"/>
  <c r="K151" i="1"/>
  <c r="K148" i="1"/>
  <c r="K132" i="1"/>
  <c r="K123" i="1"/>
  <c r="K115" i="1"/>
  <c r="K174" i="1"/>
  <c r="K98" i="1"/>
  <c r="K180" i="1"/>
  <c r="K185" i="1"/>
  <c r="K73" i="1"/>
  <c r="K65" i="1"/>
  <c r="K57" i="1"/>
  <c r="K48" i="1"/>
  <c r="K40" i="1"/>
  <c r="K32" i="1"/>
  <c r="K24" i="1"/>
  <c r="K15" i="1"/>
  <c r="K7" i="1"/>
  <c r="K211" i="1"/>
  <c r="K203" i="1"/>
  <c r="K21" i="1"/>
  <c r="K94" i="1"/>
  <c r="K167" i="1"/>
  <c r="K159" i="1"/>
  <c r="K147" i="1"/>
  <c r="K139" i="1"/>
  <c r="K131" i="1"/>
  <c r="K122" i="1"/>
  <c r="K165" i="1"/>
  <c r="K105" i="1"/>
  <c r="K97" i="1"/>
  <c r="K89" i="1"/>
  <c r="K72" i="1"/>
  <c r="K64" i="1"/>
  <c r="K56" i="1"/>
  <c r="K39" i="1"/>
  <c r="K31" i="1"/>
  <c r="K23" i="1"/>
  <c r="K14" i="1"/>
  <c r="K6" i="1"/>
  <c r="K3" i="1"/>
  <c r="K202" i="1"/>
  <c r="K50" i="1"/>
  <c r="K184" i="1"/>
  <c r="K175" i="1"/>
  <c r="K146" i="1"/>
  <c r="K138" i="1"/>
  <c r="K130" i="1"/>
  <c r="K121" i="1"/>
  <c r="K166" i="1"/>
  <c r="K104" i="1"/>
  <c r="K80" i="1"/>
  <c r="K71" i="1"/>
  <c r="K63" i="1"/>
  <c r="K55" i="1"/>
  <c r="K46" i="1"/>
  <c r="K38" i="1"/>
  <c r="K30" i="1"/>
  <c r="K13" i="1"/>
  <c r="K201" i="1"/>
  <c r="K193" i="1"/>
  <c r="K106" i="1"/>
  <c r="K145" i="1"/>
  <c r="K120" i="1"/>
</calcChain>
</file>

<file path=xl/sharedStrings.xml><?xml version="1.0" encoding="utf-8"?>
<sst xmlns="http://schemas.openxmlformats.org/spreadsheetml/2006/main" count="1035" uniqueCount="486">
  <si>
    <t>Item ID</t>
  </si>
  <si>
    <t>Item Name</t>
  </si>
  <si>
    <t>Category</t>
  </si>
  <si>
    <t>Supplier</t>
  </si>
  <si>
    <t>Selling Price</t>
  </si>
  <si>
    <t>Cost Price</t>
  </si>
  <si>
    <t>ABC_Class</t>
  </si>
  <si>
    <t>FSN_Class</t>
  </si>
  <si>
    <t>Hycort Cream</t>
  </si>
  <si>
    <t>Hhfexo 180 Tabs</t>
  </si>
  <si>
    <t>Cosmelite Next Cream</t>
  </si>
  <si>
    <t>Behance Sunscreen</t>
  </si>
  <si>
    <t>Anti-microbial</t>
  </si>
  <si>
    <t>Sunscreen</t>
  </si>
  <si>
    <t>Skincare</t>
  </si>
  <si>
    <t>Pynomax TX Face Serum</t>
  </si>
  <si>
    <t>Seb Baby Lotion With Pump</t>
  </si>
  <si>
    <t>Baby Care</t>
  </si>
  <si>
    <t xml:space="preserve">Avenues Pharma </t>
  </si>
  <si>
    <t>Imojac Ointment</t>
  </si>
  <si>
    <t>5S Pharma Distributions</t>
  </si>
  <si>
    <t>C-Facewash</t>
  </si>
  <si>
    <t xml:space="preserve">Cosmonova Medicare </t>
  </si>
  <si>
    <t>Disokem Lotion</t>
  </si>
  <si>
    <t>Fairvit Soap</t>
  </si>
  <si>
    <t>Minoking-50 DT</t>
  </si>
  <si>
    <t>Pain Relief</t>
  </si>
  <si>
    <t>JMJ Pharma</t>
  </si>
  <si>
    <t xml:space="preserve">Lacto Calamine </t>
  </si>
  <si>
    <t xml:space="preserve">Azee 500 Tabs </t>
  </si>
  <si>
    <t>BuscoGast Tab</t>
  </si>
  <si>
    <t>Sebum Clear N Gel</t>
  </si>
  <si>
    <t>Clincitop Gel</t>
  </si>
  <si>
    <t xml:space="preserve">Sebamed Baby Cream Extra </t>
  </si>
  <si>
    <t>Gastro Tabs</t>
  </si>
  <si>
    <t>Okacet Tab ©</t>
  </si>
  <si>
    <t>Nicip Plus Tab</t>
  </si>
  <si>
    <t>Pantosec DSR Caps</t>
  </si>
  <si>
    <t>EASI Breathe Caps</t>
  </si>
  <si>
    <t>Respiratory</t>
  </si>
  <si>
    <t>EBAL 20</t>
  </si>
  <si>
    <t>Body Care</t>
  </si>
  <si>
    <t>Hairtamin Cap</t>
  </si>
  <si>
    <t>Vitamins/Minerals</t>
  </si>
  <si>
    <t xml:space="preserve">Luliford Cream </t>
  </si>
  <si>
    <t>Optineuron INJ</t>
  </si>
  <si>
    <t>Remetor F</t>
  </si>
  <si>
    <t>Cardiovascular</t>
  </si>
  <si>
    <t>Softovac 250GM</t>
  </si>
  <si>
    <t xml:space="preserve">Udcament Susp </t>
  </si>
  <si>
    <t>Acnewin Face Wash</t>
  </si>
  <si>
    <t>Calosoft AF Lotion</t>
  </si>
  <si>
    <t>Clop S Nano Lotion</t>
  </si>
  <si>
    <t>C-PRO Cream 30GM</t>
  </si>
  <si>
    <t>Dazit 10MG Tab</t>
  </si>
  <si>
    <t>Depiwhite eye gel</t>
  </si>
  <si>
    <t>Ethiglo Serum</t>
  </si>
  <si>
    <t>Zocon-200 mg Tab©</t>
  </si>
  <si>
    <t>Melalumin Under Eye Serum</t>
  </si>
  <si>
    <t>Meprate 10MG Tab</t>
  </si>
  <si>
    <t>Mintop Alcohol Free 5% Solution</t>
  </si>
  <si>
    <t>Momentsone Cream</t>
  </si>
  <si>
    <t>Neuroprime Plus Capsules</t>
  </si>
  <si>
    <t>Nezaflo Nasal Spray</t>
  </si>
  <si>
    <t>Cold/Cough</t>
  </si>
  <si>
    <t>NMF E Lip Care</t>
  </si>
  <si>
    <t>Mahaveer Medi Sales</t>
  </si>
  <si>
    <t>Meladuce Face Serum</t>
  </si>
  <si>
    <t>Sporamiz SB 130 Caos</t>
  </si>
  <si>
    <t>Medline Distributors</t>
  </si>
  <si>
    <t xml:space="preserve">Minfin NX 5% </t>
  </si>
  <si>
    <t>Glutaclair Tablet</t>
  </si>
  <si>
    <t>Amorolkite Cream</t>
  </si>
  <si>
    <t>Cuticlair Anti Acne Face Serum</t>
  </si>
  <si>
    <t>Ebruma Cream</t>
  </si>
  <si>
    <t>Lulikite Cream</t>
  </si>
  <si>
    <t>Pepgain Advance Tablet</t>
  </si>
  <si>
    <t>Sunshield Sunscreen SPF</t>
  </si>
  <si>
    <t>Cuticlair  Face Serum</t>
  </si>
  <si>
    <t>Ketobright Shampoo</t>
  </si>
  <si>
    <t>Pepgain Solution</t>
  </si>
  <si>
    <t xml:space="preserve">Pride Pharma </t>
  </si>
  <si>
    <t>Aquahance Moisture</t>
  </si>
  <si>
    <t>Ascoril SF Syrup</t>
  </si>
  <si>
    <t>Asthalin 4MG Tabs</t>
  </si>
  <si>
    <t>Aten 50MG Tab</t>
  </si>
  <si>
    <t>Atogla Lotion</t>
  </si>
  <si>
    <t>Atorva Gold 10MG Cap</t>
  </si>
  <si>
    <t>Aziderm Plus Cream</t>
  </si>
  <si>
    <t>Azithral 500mg Tab</t>
  </si>
  <si>
    <t>Bandy Plus Tab</t>
  </si>
  <si>
    <t>Becadexamin Caps</t>
  </si>
  <si>
    <t>Becosules Plus Syrup</t>
  </si>
  <si>
    <t xml:space="preserve">Betadine G 2% </t>
  </si>
  <si>
    <t>First Aid</t>
  </si>
  <si>
    <t>Bilatis 20MG Tabs</t>
  </si>
  <si>
    <t>Bimat LS Eye Drops</t>
  </si>
  <si>
    <t>BX Shampoo</t>
  </si>
  <si>
    <t>Candid Cream</t>
  </si>
  <si>
    <t>Candiforce 200 Caps</t>
  </si>
  <si>
    <t>Cetaphil Moisturising</t>
  </si>
  <si>
    <t>Clenz AC Topical Gel</t>
  </si>
  <si>
    <t>Clohex 150 ML</t>
  </si>
  <si>
    <t>Concor 5 Tabs</t>
  </si>
  <si>
    <t>Dermadew Aloe Plus</t>
  </si>
  <si>
    <t>Duphalac Syrup</t>
  </si>
  <si>
    <t>Ecosprin AV 150/20 Caps</t>
  </si>
  <si>
    <t>Electral Powder(BIG)</t>
  </si>
  <si>
    <t>Eltroxin 100MG Tabs</t>
  </si>
  <si>
    <t>Emolene Cream</t>
  </si>
  <si>
    <t>Envas 10MG Tab</t>
  </si>
  <si>
    <t>Epilyno Lotion</t>
  </si>
  <si>
    <t>Eumosone Cream</t>
  </si>
  <si>
    <t>Finax 1MG Tab</t>
  </si>
  <si>
    <t>Fixon Cream</t>
  </si>
  <si>
    <t>Gentle Baby Wipes(72)</t>
  </si>
  <si>
    <t>Gluformin G2 Tabs</t>
  </si>
  <si>
    <t>Diabetes</t>
  </si>
  <si>
    <t>Glycomet 500 SR Tabs</t>
  </si>
  <si>
    <t>Hhcepo CV 325 Tabs</t>
  </si>
  <si>
    <t>Hhsone Cream</t>
  </si>
  <si>
    <t>Huminsulin 30/70</t>
  </si>
  <si>
    <t xml:space="preserve">Ibugesic Plus Syp </t>
  </si>
  <si>
    <t>Jointace Tab</t>
  </si>
  <si>
    <t>Kera XL Hair Growth</t>
  </si>
  <si>
    <t>Ketafung CT Solution</t>
  </si>
  <si>
    <t>Ketorol DT Tablets</t>
  </si>
  <si>
    <t>Kofarest SYP</t>
  </si>
  <si>
    <t>Lactihep Plus Syrup</t>
  </si>
  <si>
    <t>Levipil 250MG Tab</t>
  </si>
  <si>
    <t>Levolin Inhaler</t>
  </si>
  <si>
    <t>Losakind 50 Tab</t>
  </si>
  <si>
    <t>Lubrex Eye Drops</t>
  </si>
  <si>
    <t>Thrombphob Ointment</t>
  </si>
  <si>
    <t>Thyronorm 100</t>
  </si>
  <si>
    <t>Trfy Cream</t>
  </si>
  <si>
    <t>Tribet 2 Tabs</t>
  </si>
  <si>
    <t>Triluma Cream</t>
  </si>
  <si>
    <t>Triobimet 2</t>
  </si>
  <si>
    <t>Tripide 2MG Tab</t>
  </si>
  <si>
    <t xml:space="preserve">Ulgeraft Syrup </t>
  </si>
  <si>
    <t>Unwanted 21 Days</t>
  </si>
  <si>
    <t>Unwanted 72</t>
  </si>
  <si>
    <t>Vantej Aqua Mouthwash</t>
  </si>
  <si>
    <t xml:space="preserve">Volini Maxx Spray </t>
  </si>
  <si>
    <t>Vomikind MD 4</t>
  </si>
  <si>
    <t>Warren Orthodontic</t>
  </si>
  <si>
    <t>Xerina Cream</t>
  </si>
  <si>
    <t>Zedex Cough Syrup</t>
  </si>
  <si>
    <t>Propysalic NF6 Ointment</t>
  </si>
  <si>
    <t>Propysalic Plus  Lotion</t>
  </si>
  <si>
    <t>Ram Agencies</t>
  </si>
  <si>
    <t>4U-Q10 Plus Cap</t>
  </si>
  <si>
    <t>AB Next Gel</t>
  </si>
  <si>
    <t xml:space="preserve">Accu Chek </t>
  </si>
  <si>
    <t>Acne UV Gel</t>
  </si>
  <si>
    <t>Alerid Syrup</t>
  </si>
  <si>
    <t>Allegra 180MG Tab</t>
  </si>
  <si>
    <t>Brufen 600 Tab</t>
  </si>
  <si>
    <t>Budamate 200 Transcaps</t>
  </si>
  <si>
    <t>Calpsor C Oint</t>
  </si>
  <si>
    <t>Immunosuppressant</t>
  </si>
  <si>
    <t>Eberfine XL Cream</t>
  </si>
  <si>
    <t>Erytop Gel</t>
  </si>
  <si>
    <t>ES Body Wash</t>
  </si>
  <si>
    <t>Ezhh Cream</t>
  </si>
  <si>
    <t>Flawlizo Micro 0.04% Gel</t>
  </si>
  <si>
    <t>Glyciphage G1</t>
  </si>
  <si>
    <t>Glycomet GP 1 Tabs</t>
  </si>
  <si>
    <t>Glynium VT Inhaler</t>
  </si>
  <si>
    <t>GP 3MG Tab</t>
  </si>
  <si>
    <t xml:space="preserve">Hansaplast WaterProof </t>
  </si>
  <si>
    <t>Hhlevo 5MG Tab</t>
  </si>
  <si>
    <t>Hhomega + Cap</t>
  </si>
  <si>
    <t>Imol Plus Tab</t>
  </si>
  <si>
    <t>Imxia F 5% Solution</t>
  </si>
  <si>
    <t xml:space="preserve">Ivrea Shampoo </t>
  </si>
  <si>
    <t>Kailas Jeevan Cream</t>
  </si>
  <si>
    <t>Lecmon-AX Tab</t>
  </si>
  <si>
    <t>Lifanta Eye Drops</t>
  </si>
  <si>
    <t>Limcee 500MG Tab</t>
  </si>
  <si>
    <t>Lorfast Meltab</t>
  </si>
  <si>
    <t>Trinicalm Plus Tab</t>
  </si>
  <si>
    <t>Triclear N Gel 20GM</t>
  </si>
  <si>
    <t>Tarich Lotion</t>
  </si>
  <si>
    <t>Hydronic Lip Serum</t>
  </si>
  <si>
    <t>Kerabright Keratin Shampoo</t>
  </si>
  <si>
    <t>Mascart CL</t>
  </si>
  <si>
    <t>Melgain 2ML</t>
  </si>
  <si>
    <t xml:space="preserve">Minoz Gel </t>
  </si>
  <si>
    <t>Glowzex Foaming Facewash</t>
  </si>
  <si>
    <t>Santhosh Enterprises</t>
  </si>
  <si>
    <t>RSM Pharma</t>
  </si>
  <si>
    <t>Lumispark Cream 20G</t>
  </si>
  <si>
    <t>Sri Vignesh Pharma</t>
  </si>
  <si>
    <t>Aquahance Mois Soap</t>
  </si>
  <si>
    <t>Atogla Skin Lotion</t>
  </si>
  <si>
    <t xml:space="preserve">Ultitar CS Lotion </t>
  </si>
  <si>
    <t>Tulsi Corporation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</si>
  <si>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</si>
  <si>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</si>
  <si>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</si>
  <si>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</si>
  <si>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</si>
  <si>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</si>
  <si>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</si>
  <si>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</si>
  <si>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</si>
  <si>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</si>
  <si>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</si>
  <si>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</si>
  <si>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</si>
  <si>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</si>
  <si>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</si>
  <si>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</si>
  <si>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</si>
  <si>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</si>
  <si>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</si>
  <si>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</si>
  <si>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</si>
  <si>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</si>
  <si>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</si>
  <si>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</si>
  <si>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</si>
  <si>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</si>
  <si>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</si>
  <si>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</si>
  <si>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</si>
  <si>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</si>
  <si>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</si>
  <si>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</si>
  <si>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</si>
  <si>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</si>
  <si>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</si>
  <si>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</si>
  <si>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</si>
  <si>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</si>
  <si>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</si>
  <si>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</si>
  <si>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</si>
  <si>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</si>
  <si>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</si>
  <si>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</si>
  <si>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</si>
  <si>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</si>
  <si>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</si>
  <si>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</si>
  <si>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</si>
  <si>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</si>
  <si>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</si>
  <si>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</si>
  <si>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</si>
  <si>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</si>
  <si>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</si>
  <si>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</si>
  <si>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</si>
  <si>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</si>
  <si>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</si>
  <si>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</si>
  <si>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</si>
  <si>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</si>
  <si>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</si>
  <si>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</si>
  <si>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</si>
  <si>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</si>
  <si>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</si>
  <si>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</si>
  <si>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</si>
  <si>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</si>
  <si>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</si>
  <si>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</si>
  <si>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</si>
  <si>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</si>
  <si>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</si>
  <si>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</si>
  <si>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</si>
  <si>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</si>
  <si>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</si>
  <si>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</si>
  <si>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</si>
  <si>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</si>
  <si>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I083</t>
  </si>
  <si>
    <t>I084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</si>
  <si>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</si>
  <si>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</si>
  <si>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</si>
  <si>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</si>
  <si>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</si>
  <si>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</si>
  <si>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</si>
  <si>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</si>
  <si>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</si>
  <si>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</si>
  <si>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</si>
  <si>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</si>
  <si>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t>I097</t>
  </si>
  <si>
    <t>I098</t>
  </si>
  <si>
    <t>I099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</si>
  <si>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</si>
  <si>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</si>
  <si>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</si>
  <si>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</si>
  <si>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</si>
  <si>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</si>
  <si>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</si>
  <si>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</si>
  <si>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</si>
  <si>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</si>
  <si>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</si>
  <si>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</si>
  <si>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</si>
  <si>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</si>
  <si>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</si>
  <si>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</si>
  <si>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</si>
  <si>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</si>
  <si>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</si>
  <si>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</si>
  <si>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</si>
  <si>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</si>
  <si>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</si>
  <si>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</si>
  <si>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</si>
  <si>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</si>
  <si>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</si>
  <si>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</si>
  <si>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</si>
  <si>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</si>
  <si>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</si>
  <si>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</si>
  <si>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</si>
  <si>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</si>
  <si>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</si>
  <si>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</si>
  <si>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</si>
  <si>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</si>
  <si>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</si>
  <si>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</si>
  <si>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</si>
  <si>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</si>
  <si>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</si>
  <si>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</si>
  <si>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</si>
  <si>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</si>
  <si>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</si>
  <si>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</si>
  <si>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</si>
  <si>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</si>
  <si>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</si>
  <si>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</si>
  <si>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</si>
  <si>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</si>
  <si>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</si>
  <si>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</si>
  <si>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</si>
  <si>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</si>
  <si>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</si>
  <si>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</si>
  <si>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</si>
  <si>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</si>
  <si>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</si>
  <si>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</si>
  <si>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</si>
  <si>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</si>
  <si>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</si>
  <si>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</si>
  <si>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</si>
  <si>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</si>
  <si>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</si>
  <si>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</si>
  <si>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Lecmon-AM</t>
  </si>
  <si>
    <t>Proanagen Tabs</t>
  </si>
  <si>
    <t>Xaliderm Solution</t>
  </si>
  <si>
    <t>Everolimus</t>
  </si>
  <si>
    <t>Prednisone</t>
  </si>
  <si>
    <t>Terbinaforce 500</t>
  </si>
  <si>
    <t>Methylprednisolone</t>
  </si>
  <si>
    <t>Ocid 20</t>
  </si>
  <si>
    <t>Tacrolimus</t>
  </si>
  <si>
    <t>Metsmall 500</t>
  </si>
  <si>
    <t>Cyclosporine</t>
  </si>
  <si>
    <t>Infliximab</t>
  </si>
  <si>
    <t>Sinarest</t>
  </si>
  <si>
    <t>Alembic</t>
  </si>
  <si>
    <t>ItchInsta</t>
  </si>
  <si>
    <t>Suncros</t>
  </si>
  <si>
    <t>Itrazet-200</t>
  </si>
  <si>
    <t>Mycophenolate Mofetil</t>
  </si>
  <si>
    <t>Laveta M</t>
  </si>
  <si>
    <t>Azathioprine</t>
  </si>
  <si>
    <t>Inclofax</t>
  </si>
  <si>
    <t>Dailycal-500</t>
  </si>
  <si>
    <t>Methotrexate</t>
  </si>
  <si>
    <t>Niglow</t>
  </si>
  <si>
    <t>Glenmark</t>
  </si>
  <si>
    <t>Sirolimus</t>
  </si>
  <si>
    <t>Lamitor</t>
  </si>
  <si>
    <t>Rituximab</t>
  </si>
  <si>
    <t>Ozalel</t>
  </si>
  <si>
    <t>Rozalet 20</t>
  </si>
  <si>
    <t>Montair</t>
  </si>
  <si>
    <t>Allopurinol</t>
  </si>
  <si>
    <t>Istavel</t>
  </si>
  <si>
    <t>S-clear Cream</t>
  </si>
  <si>
    <t>Glucoryl MV1</t>
  </si>
  <si>
    <t>Hairbless Tablet</t>
  </si>
  <si>
    <t>Tarsalic Lotion</t>
  </si>
  <si>
    <t xml:space="preserve">Glycomet-GP </t>
  </si>
  <si>
    <t xml:space="preserve">Supermet XL </t>
  </si>
  <si>
    <t xml:space="preserve">IFIN 500MG </t>
  </si>
  <si>
    <t>Fenobate  Capsule</t>
  </si>
  <si>
    <t>Nogacid Capsule</t>
  </si>
  <si>
    <t>Losatus AM Tablet</t>
  </si>
  <si>
    <t xml:space="preserve">Glycomet Tablet </t>
  </si>
  <si>
    <t>Tenolol 50MG</t>
  </si>
  <si>
    <t xml:space="preserve">Immunosuppresant </t>
  </si>
  <si>
    <t>-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</si>
  <si>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</si>
  <si>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</si>
  <si>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</si>
  <si>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</si>
  <si>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</si>
  <si>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</si>
  <si>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</si>
  <si>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</si>
  <si>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</si>
  <si>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</si>
  <si>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</si>
  <si>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</si>
  <si>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</si>
  <si>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</si>
  <si>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</si>
  <si>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</si>
  <si>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</si>
  <si>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</si>
  <si>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</si>
  <si>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</si>
  <si>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</si>
  <si>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</si>
  <si>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</si>
  <si>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</si>
  <si>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</si>
  <si>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</si>
  <si>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</si>
  <si>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</si>
  <si>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</si>
  <si>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</si>
  <si>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</si>
  <si>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</si>
  <si>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</si>
  <si>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</si>
  <si>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</si>
  <si>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</si>
  <si>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</si>
  <si>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</si>
  <si>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</si>
  <si>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</si>
  <si>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</si>
  <si>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</si>
  <si>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</si>
  <si>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</si>
  <si>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</si>
  <si>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Quantity</t>
  </si>
  <si>
    <t>Expiry Date</t>
  </si>
  <si>
    <t>Expiry Risk</t>
  </si>
  <si>
    <t>Stock Policy</t>
  </si>
  <si>
    <t>Action Recommended</t>
  </si>
  <si>
    <t>A</t>
  </si>
  <si>
    <t>B</t>
  </si>
  <si>
    <t>C</t>
  </si>
  <si>
    <t>HIGH</t>
  </si>
  <si>
    <t>LOW</t>
  </si>
  <si>
    <t>Bulk Order</t>
  </si>
  <si>
    <t>Order on Demand</t>
  </si>
  <si>
    <t>N</t>
  </si>
  <si>
    <t>Number of Days to expire</t>
  </si>
  <si>
    <t>Bhagavan Medicals Inventory</t>
  </si>
  <si>
    <t>MODERATE</t>
  </si>
  <si>
    <t>Small and Frequent Orders</t>
  </si>
  <si>
    <t>Controlled Replenishment</t>
  </si>
  <si>
    <t>Discontinued</t>
  </si>
  <si>
    <t>Large quantity procurement for stable, low-expiry items.</t>
  </si>
  <si>
    <t>Small batches ordered often to reduce expiry risk.</t>
  </si>
  <si>
    <t>Moderate ordering with regular stock review.</t>
  </si>
  <si>
    <t>Procure only when demand arises.</t>
  </si>
  <si>
    <t>Stop regular stocking due to persistent losses.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</si>
</sst>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mmm/yyyy"/>
    <numFmt numFmtId="166" formatCode="[$-4009]\ mmmm\ yyyy"/>
  </numFmts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8"/>
      <color theme="0"/>
      <name val="Times New Roman"/>
      <family val="1"/>
    </font>
    <font>
      <b/>
      <sz val="28"/>
      <color theme="5" tint="-0.499984740745262"/>
      <name val="Times New Roman"/>
      <family val="1"/>
    </font>
    <font>
      <sz val="24"/>
      <color theme="5" tint="-0.499984740745262"/>
      <name val="Calibri"/>
      <family val="2"/>
      <scheme val="minor"/>
    </font>
    <font>
      <b/>
      <sz val="20"/>
      <color theme="0"/>
      <name val="Times New Roman"/>
      <family val="1"/>
    </font>
    <font>
      <sz val="20"/>
      <color theme="1" tint="0.14999847407452621"/>
      <name val="Times New Roman"/>
      <family val="1"/>
    </font>
    <font>
      <sz val="20"/>
      <color theme="1"/>
      <name val="Times New Roman"/>
      <family val="1"/>
    </font>
    <font>
      <b/>
      <sz val="20"/>
      <color theme="1" tint="0.14999847407452621"/>
      <name val="Times New Roman"/>
      <family val="1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3"/>
      <color theme="1" tint="0.1499984740745262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808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7E0000"/>
      </left>
      <right style="thin">
        <color rgb="FF7E0000"/>
      </right>
      <top style="thin">
        <color rgb="FF7E0000"/>
      </top>
      <bottom/>
      <diagonal/>
    </border>
    <border>
      <left style="thin">
        <color rgb="FF7E0000"/>
      </left>
      <right style="thin">
        <color rgb="FF7E0000"/>
      </right>
      <top/>
      <bottom style="thin">
        <color rgb="FF7E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2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1" fontId="9" fillId="3" borderId="4" xfId="0" applyNumberFormat="1" applyFont="1" applyFill="1" applyBorder="1" applyAlignment="1">
      <alignment horizontal="center"/>
    </xf>
    <xf numFmtId="0" fontId="10" fillId="6" borderId="0" xfId="0" applyFont="1" applyFill="1"/>
    <xf numFmtId="0" fontId="11" fillId="0" borderId="0" xfId="0" applyFont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8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 tint="-0.499984740745262"/>
      </font>
      <fill>
        <patternFill>
          <bgColor rgb="FFFF66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9" tint="-0.499984740745262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6600"/>
        </patternFill>
      </fill>
    </dxf>
    <dxf>
      <font>
        <color rgb="FF7E0000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FE8F8C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theme="4" tint="-0.2499465926084170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7E0000"/>
        </patternFill>
      </fill>
      <border>
        <vertical/>
        <horizontal/>
      </border>
    </dxf>
    <dxf>
      <font>
        <b/>
        <i val="0"/>
        <color rgb="FF7E0000"/>
      </font>
      <fill>
        <patternFill>
          <bgColor theme="7" tint="0.39994506668294322"/>
        </patternFill>
      </fill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 tint="0.14999847407452621"/>
        <name val="Times New Roman"/>
        <family val="1"/>
        <scheme val="none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numFmt numFmtId="1" formatCode="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numFmt numFmtId="166" formatCode="[$-4009]\ mmmm\ yyyy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numFmt numFmtId="164" formatCode="&quot;₹&quot;\ #,##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numFmt numFmtId="164" formatCode="&quot;₹&quot;\ #,##0.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0.14999847407452621"/>
        <name val="Times New Roman"/>
        <family val="1"/>
        <scheme val="none"/>
      </font>
    </dxf>
    <dxf>
      <border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800000"/>
      <color rgb="FF7E0000"/>
      <color rgb="FFFF6600"/>
      <color rgb="FFFC8080"/>
      <color rgb="FFFB9B53"/>
      <color rgb="FFFE8F8C"/>
      <color rgb="FFFC45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e6818def4d35aa2/Desktop/Riddhi%20Shetty/BDM%20PROJECT/BDM%20PROJECT%20DATASET.xlsx" TargetMode="External"/><Relationship Id="rId1" Type="http://schemas.openxmlformats.org/officeDocument/2006/relationships/externalLinkPath" Target="BDM%20PROJECT%20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 Sales"/>
      <sheetName val="Raw Data Expiry Date"/>
      <sheetName val="Sheet6"/>
      <sheetName val="Cleaned data Sales"/>
      <sheetName val="Cleaned data Expiry"/>
      <sheetName val="Analysis I"/>
      <sheetName val="Analysis II"/>
      <sheetName val="Analysis III"/>
      <sheetName val="Categorical Sales Value"/>
      <sheetName val="Daily Revenue analysis "/>
      <sheetName val="Expiry products Analysis"/>
    </sheetNames>
    <sheetDataSet>
      <sheetData sheetId="0">
        <row r="1">
          <cell r="B1" t="str">
            <v>Item Description</v>
          </cell>
          <cell r="G1" t="str">
            <v>Expiration Date</v>
          </cell>
        </row>
        <row r="2">
          <cell r="B2" t="str">
            <v>Dermadew Aloe Plus</v>
          </cell>
          <cell r="G2">
            <v>46478</v>
          </cell>
        </row>
        <row r="3">
          <cell r="B3" t="str">
            <v>Triluma Cream</v>
          </cell>
          <cell r="G3">
            <v>46508</v>
          </cell>
        </row>
        <row r="4">
          <cell r="B4" t="str">
            <v>Epilyno Lotion</v>
          </cell>
          <cell r="G4">
            <v>46478</v>
          </cell>
        </row>
        <row r="5">
          <cell r="B5" t="str">
            <v>Lulifin Cream</v>
          </cell>
          <cell r="G5">
            <v>46388</v>
          </cell>
        </row>
        <row r="6">
          <cell r="B6" t="str">
            <v>Aziderm Plus Cream</v>
          </cell>
          <cell r="G6">
            <v>46508</v>
          </cell>
        </row>
        <row r="7">
          <cell r="B7" t="str">
            <v>Aquahance Moisture</v>
          </cell>
          <cell r="G7">
            <v>46631</v>
          </cell>
        </row>
        <row r="8">
          <cell r="B8" t="str">
            <v>Hhzole Cream</v>
          </cell>
          <cell r="G8">
            <v>46478</v>
          </cell>
        </row>
        <row r="9">
          <cell r="B9" t="str">
            <v>Hhsone Cream</v>
          </cell>
          <cell r="G9">
            <v>46478</v>
          </cell>
        </row>
        <row r="10">
          <cell r="B10" t="str">
            <v>Clonate Oint</v>
          </cell>
          <cell r="G10">
            <v>46508</v>
          </cell>
        </row>
        <row r="11">
          <cell r="B11" t="str">
            <v>Oflox-200 Tab</v>
          </cell>
          <cell r="G11">
            <v>46905</v>
          </cell>
        </row>
        <row r="12">
          <cell r="B12" t="str">
            <v>Ketafung CT Solution</v>
          </cell>
          <cell r="G12">
            <v>46508</v>
          </cell>
        </row>
        <row r="13">
          <cell r="B13" t="str">
            <v>Strepsils Orange</v>
          </cell>
          <cell r="G13">
            <v>46569</v>
          </cell>
        </row>
        <row r="14">
          <cell r="B14" t="str">
            <v>Hhcepo CV 325 Tabs</v>
          </cell>
          <cell r="G14">
            <v>46204</v>
          </cell>
        </row>
        <row r="15">
          <cell r="B15" t="str">
            <v>Clonate F Cream</v>
          </cell>
          <cell r="G15">
            <v>46478</v>
          </cell>
        </row>
        <row r="16">
          <cell r="B16" t="str">
            <v>Bandy Plus Tab</v>
          </cell>
          <cell r="G16">
            <v>46753</v>
          </cell>
        </row>
        <row r="17">
          <cell r="B17" t="str">
            <v>Bandy Plus Tab</v>
          </cell>
          <cell r="G17">
            <v>46661</v>
          </cell>
        </row>
        <row r="18">
          <cell r="B18" t="str">
            <v>Sompraz D Tab</v>
          </cell>
          <cell r="G18">
            <v>46508</v>
          </cell>
        </row>
        <row r="19">
          <cell r="B19" t="str">
            <v>Azithral 500mg Tab</v>
          </cell>
          <cell r="G19">
            <v>46539</v>
          </cell>
        </row>
        <row r="20">
          <cell r="B20" t="str">
            <v>Cyra -D Tabs</v>
          </cell>
          <cell r="G20">
            <v>46508</v>
          </cell>
        </row>
        <row r="21">
          <cell r="B21" t="str">
            <v>Tazloc Am Tabs</v>
          </cell>
          <cell r="G21">
            <v>46539</v>
          </cell>
        </row>
        <row r="22">
          <cell r="B22" t="str">
            <v>Mesacol Od Tabs</v>
          </cell>
          <cell r="G22">
            <v>46508</v>
          </cell>
        </row>
        <row r="23">
          <cell r="B23" t="str">
            <v>Propysalic NF6 Ointment</v>
          </cell>
          <cell r="G23">
            <v>46508</v>
          </cell>
        </row>
        <row r="24">
          <cell r="B24" t="str">
            <v>Concor Cor 2.5 Tabs</v>
          </cell>
          <cell r="G24">
            <v>46539</v>
          </cell>
        </row>
        <row r="25">
          <cell r="B25" t="str">
            <v>Clenz AC Topical Gel</v>
          </cell>
          <cell r="G25">
            <v>46478</v>
          </cell>
        </row>
        <row r="26">
          <cell r="B26" t="str">
            <v>Lulifin Cream</v>
          </cell>
          <cell r="G26">
            <v>46388</v>
          </cell>
        </row>
        <row r="27">
          <cell r="B27" t="str">
            <v>Tedi Bar</v>
          </cell>
          <cell r="G27">
            <v>46508</v>
          </cell>
        </row>
        <row r="28">
          <cell r="B28" t="str">
            <v>Aquahance Moisture</v>
          </cell>
          <cell r="G28">
            <v>46631</v>
          </cell>
        </row>
        <row r="29">
          <cell r="B29" t="str">
            <v>Seroflo-250 Inhaler</v>
          </cell>
          <cell r="G29">
            <v>46419</v>
          </cell>
        </row>
        <row r="30">
          <cell r="B30" t="str">
            <v>RotaHaler</v>
          </cell>
          <cell r="G30">
            <v>47515</v>
          </cell>
        </row>
        <row r="31">
          <cell r="B31" t="str">
            <v>Dermadew Soap</v>
          </cell>
          <cell r="G31">
            <v>46905</v>
          </cell>
        </row>
        <row r="32">
          <cell r="B32" t="str">
            <v>Dermadew Baby Soap</v>
          </cell>
          <cell r="G32">
            <v>46905</v>
          </cell>
        </row>
        <row r="33">
          <cell r="B33" t="str">
            <v>Levolin Inhaler</v>
          </cell>
          <cell r="G33">
            <v>46266</v>
          </cell>
        </row>
        <row r="34">
          <cell r="B34" t="str">
            <v>Rega NP Serum</v>
          </cell>
          <cell r="G34">
            <v>46569</v>
          </cell>
        </row>
        <row r="35">
          <cell r="B35" t="str">
            <v>Rega NP Serum</v>
          </cell>
          <cell r="G35">
            <v>46569</v>
          </cell>
        </row>
        <row r="36">
          <cell r="B36" t="str">
            <v>ES Body Wash</v>
          </cell>
          <cell r="G36">
            <v>46419</v>
          </cell>
        </row>
        <row r="37">
          <cell r="B37" t="str">
            <v>Gabapax NT 200MG Tab</v>
          </cell>
          <cell r="G37">
            <v>46661</v>
          </cell>
        </row>
        <row r="38">
          <cell r="B38" t="str">
            <v>Cilvoryl MV 2 Tab</v>
          </cell>
          <cell r="G38">
            <v>46478</v>
          </cell>
        </row>
        <row r="39">
          <cell r="B39" t="str">
            <v>Budamate 200 Transcaps</v>
          </cell>
          <cell r="G39">
            <v>46508</v>
          </cell>
        </row>
        <row r="40">
          <cell r="B40" t="str">
            <v>Rablet 20MG Tab 15'S</v>
          </cell>
          <cell r="G40">
            <v>46478</v>
          </cell>
        </row>
        <row r="41">
          <cell r="B41" t="str">
            <v>Acne UV Gel</v>
          </cell>
          <cell r="G41">
            <v>46388</v>
          </cell>
        </row>
        <row r="42">
          <cell r="B42" t="str">
            <v xml:space="preserve">Minoz Gel </v>
          </cell>
          <cell r="G42">
            <v>46419</v>
          </cell>
        </row>
        <row r="43">
          <cell r="B43" t="str">
            <v>Suncros Matt Finish Soft Gel</v>
          </cell>
          <cell r="G43">
            <v>46447</v>
          </cell>
        </row>
        <row r="44">
          <cell r="B44" t="str">
            <v>Allgiduo SUS</v>
          </cell>
          <cell r="G44">
            <v>46296</v>
          </cell>
        </row>
        <row r="45">
          <cell r="B45" t="str">
            <v>Tarich Lotion</v>
          </cell>
          <cell r="G45">
            <v>46874</v>
          </cell>
        </row>
        <row r="46">
          <cell r="B46" t="str">
            <v>LA Shield Max Sunscreen Lotion</v>
          </cell>
          <cell r="G46">
            <v>46508</v>
          </cell>
        </row>
        <row r="47">
          <cell r="B47" t="str">
            <v>Hydronic Lip Serum</v>
          </cell>
          <cell r="G47">
            <v>46569</v>
          </cell>
        </row>
        <row r="48">
          <cell r="B48" t="str">
            <v>Orofer XT Lab</v>
          </cell>
          <cell r="G48">
            <v>46388</v>
          </cell>
        </row>
        <row r="49">
          <cell r="B49" t="str">
            <v>Cilacar 5MG Tab</v>
          </cell>
          <cell r="G49">
            <v>46905</v>
          </cell>
        </row>
        <row r="50">
          <cell r="B50" t="str">
            <v>Sitara 50MG Tab</v>
          </cell>
          <cell r="G50">
            <v>46419</v>
          </cell>
        </row>
        <row r="51">
          <cell r="B51" t="str">
            <v>Calpsor C Oint</v>
          </cell>
          <cell r="G51">
            <v>46539</v>
          </cell>
        </row>
        <row r="52">
          <cell r="B52" t="str">
            <v>Imol Plus Tab</v>
          </cell>
          <cell r="G52">
            <v>46508</v>
          </cell>
        </row>
        <row r="53">
          <cell r="B53" t="str">
            <v>Deplatta A 150 Tab 15'S</v>
          </cell>
          <cell r="G53">
            <v>46327</v>
          </cell>
        </row>
        <row r="54">
          <cell r="B54" t="str">
            <v>Aztor 10MG Tab 15'S</v>
          </cell>
          <cell r="G54">
            <v>46844</v>
          </cell>
        </row>
        <row r="55">
          <cell r="B55" t="str">
            <v>Huminsulin (R) 40IU</v>
          </cell>
          <cell r="G55">
            <v>46419</v>
          </cell>
        </row>
        <row r="56">
          <cell r="B56" t="str">
            <v>Lacto Calamine (ALOE 115ml)</v>
          </cell>
          <cell r="G56">
            <v>46753</v>
          </cell>
        </row>
        <row r="57">
          <cell r="B57" t="str">
            <v xml:space="preserve">Azee 500 Tabs </v>
          </cell>
          <cell r="G57">
            <v>46874</v>
          </cell>
        </row>
        <row r="58">
          <cell r="B58" t="str">
            <v>Lacto Calamine (ALOE -55ml)</v>
          </cell>
          <cell r="G58">
            <v>46813</v>
          </cell>
        </row>
        <row r="59">
          <cell r="B59" t="str">
            <v>BuscoGast Tab</v>
          </cell>
          <cell r="G59">
            <v>46874</v>
          </cell>
        </row>
        <row r="60">
          <cell r="B60" t="str">
            <v>Sebum Clear N Gel</v>
          </cell>
          <cell r="G60">
            <v>46478</v>
          </cell>
        </row>
        <row r="61">
          <cell r="B61" t="str">
            <v>Clincitop Gel</v>
          </cell>
          <cell r="G61">
            <v>46478</v>
          </cell>
        </row>
        <row r="62">
          <cell r="B62" t="str">
            <v xml:space="preserve">Sebamed Baby Cream Extra </v>
          </cell>
          <cell r="G62">
            <v>46905</v>
          </cell>
        </row>
        <row r="63">
          <cell r="B63" t="str">
            <v>Zocon-200 mg Tab©</v>
          </cell>
          <cell r="G63">
            <v>46784</v>
          </cell>
        </row>
        <row r="64">
          <cell r="B64" t="str">
            <v>Hycort Cream</v>
          </cell>
          <cell r="G64">
            <v>46508</v>
          </cell>
        </row>
        <row r="65">
          <cell r="B65" t="str">
            <v>C-Facewash</v>
          </cell>
          <cell r="G65">
            <v>46539</v>
          </cell>
        </row>
        <row r="66">
          <cell r="B66" t="str">
            <v xml:space="preserve">Minfin NX 5% </v>
          </cell>
          <cell r="G66">
            <v>46478</v>
          </cell>
        </row>
        <row r="67">
          <cell r="B67" t="str">
            <v>Minfin MAXX 5%</v>
          </cell>
          <cell r="G67">
            <v>46478</v>
          </cell>
        </row>
        <row r="68">
          <cell r="B68" t="str">
            <v xml:space="preserve">Castor NF Cream </v>
          </cell>
          <cell r="G68">
            <v>46539</v>
          </cell>
        </row>
        <row r="69">
          <cell r="B69" t="str">
            <v>Depiwhite eye gel</v>
          </cell>
          <cell r="G69">
            <v>46784</v>
          </cell>
        </row>
        <row r="70">
          <cell r="B70" t="str">
            <v>Lacto Calamine Oily Skin</v>
          </cell>
          <cell r="G70">
            <v>46874</v>
          </cell>
        </row>
        <row r="71">
          <cell r="B71" t="str">
            <v>Hairtamin Cap</v>
          </cell>
          <cell r="G71">
            <v>46388</v>
          </cell>
        </row>
        <row r="72">
          <cell r="B72" t="str">
            <v>Hairtamin Cap</v>
          </cell>
          <cell r="G72">
            <v>46327</v>
          </cell>
        </row>
        <row r="73">
          <cell r="B73" t="str">
            <v>Momentsone Cream</v>
          </cell>
          <cell r="G73">
            <v>46508</v>
          </cell>
        </row>
        <row r="74">
          <cell r="B74" t="str">
            <v>Pantocid IT Caps</v>
          </cell>
          <cell r="G74">
            <v>46419</v>
          </cell>
        </row>
        <row r="75">
          <cell r="B75" t="str">
            <v>Hhomega + Cap</v>
          </cell>
          <cell r="G75">
            <v>46508</v>
          </cell>
        </row>
        <row r="76">
          <cell r="B76" t="str">
            <v>Stolin R Active Toothpaste</v>
          </cell>
          <cell r="G76">
            <v>46478</v>
          </cell>
        </row>
        <row r="77">
          <cell r="B77" t="str">
            <v>Olmesar Ch 20MG Tab</v>
          </cell>
          <cell r="G77">
            <v>46784</v>
          </cell>
        </row>
        <row r="78">
          <cell r="B78" t="str">
            <v>Darolac Syrup</v>
          </cell>
          <cell r="G78">
            <v>47788</v>
          </cell>
        </row>
        <row r="79">
          <cell r="B79" t="str">
            <v>Aten D Tab</v>
          </cell>
          <cell r="G79">
            <v>46508</v>
          </cell>
        </row>
        <row r="80">
          <cell r="B80" t="str">
            <v>Concovas 2.5MG Tab</v>
          </cell>
          <cell r="G80">
            <v>46478</v>
          </cell>
        </row>
        <row r="81">
          <cell r="B81" t="str">
            <v>Asthalin R/Caps</v>
          </cell>
          <cell r="G81">
            <v>46784</v>
          </cell>
        </row>
        <row r="82">
          <cell r="B82" t="str">
            <v>Dermadew Glow Cream</v>
          </cell>
          <cell r="G82">
            <v>46447</v>
          </cell>
        </row>
        <row r="83">
          <cell r="B83" t="str">
            <v>Siloderm Mixi Cream</v>
          </cell>
          <cell r="G83">
            <v>46478</v>
          </cell>
        </row>
        <row r="84">
          <cell r="B84" t="str">
            <v>Nilac Gel</v>
          </cell>
          <cell r="G84">
            <v>46447</v>
          </cell>
        </row>
        <row r="85">
          <cell r="B85" t="str">
            <v>Rosuvas EZ 10MG</v>
          </cell>
          <cell r="G85">
            <v>46905</v>
          </cell>
        </row>
        <row r="86">
          <cell r="B86" t="str">
            <v>Atorva 10MG Tab 15'S</v>
          </cell>
          <cell r="G86">
            <v>46874</v>
          </cell>
        </row>
        <row r="87">
          <cell r="B87" t="str">
            <v>Limcee 500MG Tab</v>
          </cell>
          <cell r="G87">
            <v>46569</v>
          </cell>
        </row>
        <row r="88">
          <cell r="B88" t="str">
            <v>Thyronorm 125MG Tab 120's</v>
          </cell>
          <cell r="G88">
            <v>46508</v>
          </cell>
        </row>
        <row r="89">
          <cell r="B89" t="str">
            <v>Beplex Forte Tab</v>
          </cell>
          <cell r="G89">
            <v>46631</v>
          </cell>
        </row>
        <row r="90">
          <cell r="B90" t="str">
            <v>Orofer XT Lab</v>
          </cell>
          <cell r="G90">
            <v>46539</v>
          </cell>
        </row>
        <row r="91">
          <cell r="B91" t="str">
            <v>Acceclowoc SP Tab</v>
          </cell>
          <cell r="G91">
            <v>46327</v>
          </cell>
        </row>
        <row r="92">
          <cell r="B92" t="str">
            <v>Lecmon-AX Tab</v>
          </cell>
          <cell r="G92">
            <v>46508</v>
          </cell>
        </row>
        <row r="93">
          <cell r="B93" t="str">
            <v>Cuticlair Ceramide Cream</v>
          </cell>
          <cell r="G93">
            <v>46569</v>
          </cell>
        </row>
        <row r="94">
          <cell r="B94" t="str">
            <v>Starpress XL 50MG Tab 15'S</v>
          </cell>
          <cell r="G94">
            <v>46813</v>
          </cell>
        </row>
        <row r="95">
          <cell r="B95" t="str">
            <v>Nervijen P Cap's 15'S</v>
          </cell>
          <cell r="G95">
            <v>46327</v>
          </cell>
        </row>
        <row r="96">
          <cell r="B96" t="str">
            <v>Olesoft Max Lotion</v>
          </cell>
          <cell r="G96">
            <v>46508</v>
          </cell>
        </row>
        <row r="97">
          <cell r="B97" t="str">
            <v>Aquahance Moisture</v>
          </cell>
          <cell r="G97">
            <v>46631</v>
          </cell>
        </row>
        <row r="98">
          <cell r="B98" t="str">
            <v>Gentle Baby Wipes(72)</v>
          </cell>
          <cell r="G98">
            <v>46478</v>
          </cell>
        </row>
        <row r="99">
          <cell r="B99" t="str">
            <v>Kera XL Hair Growth</v>
          </cell>
          <cell r="G99">
            <v>46478</v>
          </cell>
        </row>
        <row r="100">
          <cell r="B100" t="str">
            <v>Gentle Baby Wipes(72)</v>
          </cell>
          <cell r="G100">
            <v>46569</v>
          </cell>
        </row>
        <row r="101">
          <cell r="B101" t="str">
            <v>Lactihep Plus Syrup</v>
          </cell>
          <cell r="G101">
            <v>46508</v>
          </cell>
        </row>
        <row r="102">
          <cell r="B102" t="str">
            <v>Mobizox Tab</v>
          </cell>
          <cell r="G102">
            <v>46844</v>
          </cell>
        </row>
        <row r="103">
          <cell r="B103" t="str">
            <v>Eltroxin 100MG Tabs</v>
          </cell>
          <cell r="G103">
            <v>46357</v>
          </cell>
        </row>
        <row r="104">
          <cell r="B104" t="str">
            <v>Eumosone Cream</v>
          </cell>
          <cell r="G104">
            <v>46204</v>
          </cell>
        </row>
        <row r="105">
          <cell r="B105" t="str">
            <v>Bilatis 20MG Tabs</v>
          </cell>
          <cell r="G105">
            <v>46447</v>
          </cell>
        </row>
        <row r="106">
          <cell r="B106" t="str">
            <v xml:space="preserve">Ibugesic Plus Syp </v>
          </cell>
          <cell r="G106">
            <v>46508</v>
          </cell>
        </row>
        <row r="107">
          <cell r="B107" t="str">
            <v>Ecosprin AV 150/20 Caps</v>
          </cell>
          <cell r="G107">
            <v>46569</v>
          </cell>
        </row>
        <row r="108">
          <cell r="B108" t="str">
            <v>Betadine Ointment 10%</v>
          </cell>
          <cell r="G108">
            <v>46569</v>
          </cell>
        </row>
        <row r="109">
          <cell r="B109" t="str">
            <v>Hhfexo 180 Tabs</v>
          </cell>
          <cell r="G109">
            <v>46508</v>
          </cell>
        </row>
        <row r="110">
          <cell r="B110" t="str">
            <v>Atogla Moiturizing</v>
          </cell>
          <cell r="G110">
            <v>46478</v>
          </cell>
        </row>
        <row r="111">
          <cell r="B111" t="str">
            <v>Amlovas L Tab</v>
          </cell>
          <cell r="G111">
            <v>47150</v>
          </cell>
        </row>
        <row r="112">
          <cell r="B112" t="str">
            <v>Lupidip 2.5MG Tab</v>
          </cell>
          <cell r="G112">
            <v>46508</v>
          </cell>
        </row>
        <row r="113">
          <cell r="B113" t="str">
            <v>Hifenac MR Tab</v>
          </cell>
          <cell r="G113">
            <v>46539</v>
          </cell>
        </row>
        <row r="114">
          <cell r="B114" t="str">
            <v>COF Q DX Tab</v>
          </cell>
          <cell r="G114">
            <v>46204</v>
          </cell>
        </row>
        <row r="115">
          <cell r="B115" t="str">
            <v>Okacet Tab ©</v>
          </cell>
          <cell r="G115">
            <v>46844</v>
          </cell>
        </row>
        <row r="116">
          <cell r="B116" t="str">
            <v>Nicip Plus Tab</v>
          </cell>
          <cell r="G116">
            <v>46813</v>
          </cell>
        </row>
        <row r="117">
          <cell r="B117" t="str">
            <v>Pantosec DSR Caps</v>
          </cell>
          <cell r="G117">
            <v>46388</v>
          </cell>
        </row>
        <row r="118">
          <cell r="B118" t="str">
            <v>KZ Plus Medicated Soap</v>
          </cell>
          <cell r="G118">
            <v>46874</v>
          </cell>
        </row>
        <row r="119">
          <cell r="B119" t="str">
            <v>Dazit 10MG Tab</v>
          </cell>
          <cell r="G119">
            <v>46478</v>
          </cell>
        </row>
        <row r="120">
          <cell r="B120" t="str">
            <v>Softovac 250GM</v>
          </cell>
          <cell r="G120">
            <v>46844</v>
          </cell>
        </row>
        <row r="121">
          <cell r="B121" t="str">
            <v>Picon Cream 10gm</v>
          </cell>
          <cell r="G121">
            <v>46508</v>
          </cell>
        </row>
        <row r="122">
          <cell r="B122" t="str">
            <v>Ketokem Soap 75gm</v>
          </cell>
          <cell r="G122">
            <v>46844</v>
          </cell>
        </row>
        <row r="123">
          <cell r="B123" t="str">
            <v>Tyza M Cream</v>
          </cell>
          <cell r="G123">
            <v>46478</v>
          </cell>
        </row>
        <row r="124">
          <cell r="B124" t="str">
            <v>Lodoz 5GM Tabs</v>
          </cell>
          <cell r="G124">
            <v>46905</v>
          </cell>
        </row>
        <row r="125">
          <cell r="B125" t="str">
            <v>Ecosprin AV 150/20 Caps</v>
          </cell>
          <cell r="G125">
            <v>46357</v>
          </cell>
        </row>
        <row r="126">
          <cell r="B126" t="str">
            <v>Levigress 500MG Tab 15'S</v>
          </cell>
          <cell r="G126">
            <v>46722</v>
          </cell>
        </row>
        <row r="127">
          <cell r="B127" t="str">
            <v>Levolin 0.63 Respules</v>
          </cell>
          <cell r="G127">
            <v>46478</v>
          </cell>
        </row>
        <row r="128">
          <cell r="B128" t="str">
            <v>Optineruon INJ</v>
          </cell>
          <cell r="G128">
            <v>46357</v>
          </cell>
        </row>
        <row r="129">
          <cell r="B129" t="str">
            <v>EBAL 20</v>
          </cell>
          <cell r="G129">
            <v>46508</v>
          </cell>
        </row>
        <row r="130">
          <cell r="B130" t="str">
            <v xml:space="preserve">Minopep Gold </v>
          </cell>
          <cell r="G130">
            <v>46569</v>
          </cell>
        </row>
        <row r="131">
          <cell r="B131" t="str">
            <v>Sugaflo MV Tab</v>
          </cell>
          <cell r="G131">
            <v>46419</v>
          </cell>
        </row>
        <row r="132">
          <cell r="B132" t="str">
            <v>Flawlizo Micro 0.04% Gel</v>
          </cell>
          <cell r="G132">
            <v>46478</v>
          </cell>
        </row>
        <row r="133">
          <cell r="B133" t="str">
            <v>Flawlizo Micro 0.1% Gel</v>
          </cell>
          <cell r="G133">
            <v>46478</v>
          </cell>
        </row>
        <row r="134">
          <cell r="B134" t="str">
            <v>Stator 20MG Tab</v>
          </cell>
          <cell r="G134">
            <v>46539</v>
          </cell>
        </row>
        <row r="135">
          <cell r="B135" t="str">
            <v>Flawlizo Micro 0.04% Gel</v>
          </cell>
          <cell r="G135">
            <v>46478</v>
          </cell>
        </row>
        <row r="136">
          <cell r="B136" t="str">
            <v xml:space="preserve">Brilante Max Serum </v>
          </cell>
          <cell r="G136">
            <v>46569</v>
          </cell>
        </row>
        <row r="137">
          <cell r="B137" t="str">
            <v>ORSL Apple Rehydrate Drink</v>
          </cell>
          <cell r="G137">
            <v>46235</v>
          </cell>
        </row>
        <row r="138">
          <cell r="B138" t="str">
            <v>Tonoferon Paed Syrup</v>
          </cell>
          <cell r="G138">
            <v>46204</v>
          </cell>
        </row>
        <row r="139">
          <cell r="B139" t="str">
            <v>Zincovit CL Syrup</v>
          </cell>
          <cell r="G139">
            <v>46204</v>
          </cell>
        </row>
        <row r="140">
          <cell r="B140" t="str">
            <v>Telmiduce CL Tab</v>
          </cell>
          <cell r="G140">
            <v>46874</v>
          </cell>
        </row>
        <row r="141">
          <cell r="B141" t="str">
            <v>Amrfy Cream</v>
          </cell>
          <cell r="G141">
            <v>46508</v>
          </cell>
        </row>
        <row r="142">
          <cell r="B142" t="str">
            <v>Repace H Tab</v>
          </cell>
          <cell r="G142">
            <v>46844</v>
          </cell>
        </row>
        <row r="143">
          <cell r="B143" t="str">
            <v>Scarend Silicone Gel</v>
          </cell>
          <cell r="G143">
            <v>46874</v>
          </cell>
        </row>
        <row r="144">
          <cell r="B144" t="str">
            <v>Ocurest AH  Eye Drops</v>
          </cell>
          <cell r="G144">
            <v>46508</v>
          </cell>
        </row>
        <row r="145">
          <cell r="B145" t="str">
            <v>Nurokind Gold RF Caps</v>
          </cell>
          <cell r="G145">
            <v>46327</v>
          </cell>
        </row>
        <row r="146">
          <cell r="B146" t="str">
            <v>Candid Cream</v>
          </cell>
          <cell r="G146">
            <v>46388</v>
          </cell>
        </row>
        <row r="147">
          <cell r="B147" t="str">
            <v>Patchex Tab</v>
          </cell>
          <cell r="G147">
            <v>46478</v>
          </cell>
        </row>
        <row r="148">
          <cell r="B148" t="str">
            <v>Patchex Tab</v>
          </cell>
          <cell r="G148">
            <v>46478</v>
          </cell>
        </row>
        <row r="149">
          <cell r="B149" t="str">
            <v>Renerve Plus Caps</v>
          </cell>
          <cell r="G149">
            <v>46539</v>
          </cell>
        </row>
        <row r="150">
          <cell r="B150" t="str">
            <v>Vantej Aqua Mouthwash</v>
          </cell>
          <cell r="G150">
            <v>46569</v>
          </cell>
        </row>
        <row r="151">
          <cell r="B151" t="str">
            <v>Pan D Capsules</v>
          </cell>
          <cell r="G151">
            <v>46508</v>
          </cell>
        </row>
        <row r="152">
          <cell r="B152" t="str">
            <v>Zerodol SP Tabs</v>
          </cell>
          <cell r="G152">
            <v>46722</v>
          </cell>
        </row>
        <row r="153">
          <cell r="B153" t="str">
            <v>Telmikind 20</v>
          </cell>
          <cell r="G153">
            <v>46478</v>
          </cell>
        </row>
        <row r="154">
          <cell r="B154" t="str">
            <v>ORSL Apple Rehydrate Drink</v>
          </cell>
          <cell r="G154">
            <v>46235</v>
          </cell>
        </row>
        <row r="155">
          <cell r="B155" t="str">
            <v>Imograf Ointment</v>
          </cell>
          <cell r="G155">
            <v>46478</v>
          </cell>
        </row>
        <row r="156">
          <cell r="B156" t="str">
            <v>Ebruma Cream</v>
          </cell>
          <cell r="G156">
            <v>46508</v>
          </cell>
        </row>
        <row r="157">
          <cell r="B157" t="str">
            <v>Clavam 625 MG</v>
          </cell>
          <cell r="G157">
            <v>46327</v>
          </cell>
        </row>
        <row r="158">
          <cell r="B158" t="str">
            <v>Patchex Tab</v>
          </cell>
          <cell r="G158">
            <v>46357</v>
          </cell>
        </row>
        <row r="159">
          <cell r="B159" t="str">
            <v>Trinicalm Plus Tab</v>
          </cell>
          <cell r="G159">
            <v>46905</v>
          </cell>
        </row>
        <row r="160">
          <cell r="B160" t="str">
            <v xml:space="preserve">Trivolib 1MG Tab </v>
          </cell>
          <cell r="G160">
            <v>46874</v>
          </cell>
        </row>
        <row r="161">
          <cell r="B161" t="str">
            <v>Ascoril LS SYP</v>
          </cell>
          <cell r="G161">
            <v>46478</v>
          </cell>
        </row>
        <row r="162">
          <cell r="B162" t="str">
            <v>Sensodent K (150ML)</v>
          </cell>
          <cell r="G162">
            <v>46722</v>
          </cell>
        </row>
        <row r="163">
          <cell r="B163" t="str">
            <v>No Scars Cream 20GM</v>
          </cell>
          <cell r="G163">
            <v>46388</v>
          </cell>
        </row>
        <row r="164">
          <cell r="B164" t="str">
            <v>Flawlizo Micro 0.1% Gel</v>
          </cell>
          <cell r="G164">
            <v>46478</v>
          </cell>
        </row>
        <row r="165">
          <cell r="B165" t="str">
            <v>Cheston Cold Total Tab</v>
          </cell>
          <cell r="G165">
            <v>46419</v>
          </cell>
        </row>
        <row r="166">
          <cell r="B166" t="str">
            <v>Mindruff Scalp Solution</v>
          </cell>
          <cell r="G166">
            <v>46784</v>
          </cell>
        </row>
        <row r="167">
          <cell r="B167" t="str">
            <v>Ebruma Cream</v>
          </cell>
          <cell r="G167">
            <v>46508</v>
          </cell>
        </row>
        <row r="168">
          <cell r="B168" t="str">
            <v>Lulikite Cream</v>
          </cell>
          <cell r="G168">
            <v>46508</v>
          </cell>
        </row>
        <row r="169">
          <cell r="B169" t="str">
            <v>Glykind 60 XR Tab</v>
          </cell>
          <cell r="G169">
            <v>46478</v>
          </cell>
        </row>
        <row r="170">
          <cell r="B170" t="str">
            <v>Olmezest AM 40MG Tabs</v>
          </cell>
          <cell r="G170">
            <v>46478</v>
          </cell>
        </row>
        <row r="171">
          <cell r="B171" t="str">
            <v>Tazloc Beta 25MG Tabs</v>
          </cell>
          <cell r="G171">
            <v>46508</v>
          </cell>
        </row>
        <row r="172">
          <cell r="B172" t="str">
            <v>Pilex Tabs</v>
          </cell>
          <cell r="G172">
            <v>46905</v>
          </cell>
        </row>
        <row r="173">
          <cell r="B173" t="str">
            <v>Reclide 40 Tablets</v>
          </cell>
          <cell r="G173">
            <v>46905</v>
          </cell>
        </row>
        <row r="174">
          <cell r="B174" t="str">
            <v>Mox 250MG Redimix 60ML</v>
          </cell>
          <cell r="G174">
            <v>46357</v>
          </cell>
        </row>
        <row r="175">
          <cell r="B175" t="str">
            <v>Telemikind-H 80 Tabs</v>
          </cell>
          <cell r="G175">
            <v>46388</v>
          </cell>
        </row>
        <row r="176">
          <cell r="B176" t="str">
            <v>Naprosyn+250MG 15S</v>
          </cell>
          <cell r="G176">
            <v>46874</v>
          </cell>
        </row>
        <row r="177">
          <cell r="B177" t="str">
            <v>Glycomet GP 1 Tabs</v>
          </cell>
          <cell r="G177">
            <v>46539</v>
          </cell>
        </row>
        <row r="178">
          <cell r="B178" t="str">
            <v>Nurokind LC Tabs</v>
          </cell>
          <cell r="G178">
            <v>46508</v>
          </cell>
        </row>
        <row r="179">
          <cell r="B179" t="str">
            <v>Tenepride 20 Tabs</v>
          </cell>
          <cell r="G179">
            <v>46357</v>
          </cell>
        </row>
        <row r="180">
          <cell r="B180" t="str">
            <v>Shelcal 500 Tabs</v>
          </cell>
          <cell r="G180">
            <v>46478</v>
          </cell>
        </row>
        <row r="181">
          <cell r="B181" t="str">
            <v>Duphalac Syrup</v>
          </cell>
          <cell r="G181">
            <v>46508</v>
          </cell>
        </row>
        <row r="182">
          <cell r="B182" t="str">
            <v>Beatdine 0.2%</v>
          </cell>
          <cell r="G182">
            <v>46327</v>
          </cell>
        </row>
        <row r="183">
          <cell r="B183" t="str">
            <v>Lacryl Hydrate Eye Drops</v>
          </cell>
          <cell r="G183">
            <v>46388</v>
          </cell>
        </row>
        <row r="184">
          <cell r="B184" t="str">
            <v>Lulipex Cream</v>
          </cell>
          <cell r="G184">
            <v>46508</v>
          </cell>
        </row>
        <row r="185">
          <cell r="B185" t="str">
            <v>EBAL 20</v>
          </cell>
          <cell r="G185">
            <v>46508</v>
          </cell>
        </row>
        <row r="186">
          <cell r="B186" t="str">
            <v>Beatdine Gargle 2% Mint</v>
          </cell>
          <cell r="G186">
            <v>46266</v>
          </cell>
        </row>
        <row r="187">
          <cell r="B187" t="str">
            <v>Cardace 5mg Tab</v>
          </cell>
          <cell r="G187">
            <v>46631</v>
          </cell>
        </row>
        <row r="188">
          <cell r="B188" t="str">
            <v>Kailas Jeevan Cream</v>
          </cell>
          <cell r="G188">
            <v>46874</v>
          </cell>
        </row>
        <row r="189">
          <cell r="B189" t="str">
            <v>Seroflo-250 Inhaler</v>
          </cell>
          <cell r="G189">
            <v>46419</v>
          </cell>
        </row>
        <row r="190">
          <cell r="B190" t="str">
            <v>Dermadew PMX Anti itch Lotion</v>
          </cell>
          <cell r="G190">
            <v>46539</v>
          </cell>
        </row>
        <row r="191">
          <cell r="B191" t="str">
            <v>Rozat 5MG Tab</v>
          </cell>
          <cell r="G191">
            <v>46508</v>
          </cell>
        </row>
        <row r="192">
          <cell r="B192" t="str">
            <v>Picon Cream 10gm</v>
          </cell>
          <cell r="G192">
            <v>46539</v>
          </cell>
        </row>
        <row r="193">
          <cell r="B193" t="str">
            <v>Kailas Jeevan Cream</v>
          </cell>
          <cell r="G193">
            <v>46874</v>
          </cell>
        </row>
        <row r="194">
          <cell r="B194" t="str">
            <v>Dazit 10MG Tab</v>
          </cell>
          <cell r="G194">
            <v>46478</v>
          </cell>
        </row>
        <row r="195">
          <cell r="B195" t="str">
            <v>Tyza M Cream</v>
          </cell>
          <cell r="G195">
            <v>46478</v>
          </cell>
        </row>
        <row r="196">
          <cell r="B196" t="str">
            <v>Candid Cream</v>
          </cell>
          <cell r="G196">
            <v>46388</v>
          </cell>
        </row>
        <row r="197">
          <cell r="B197" t="str">
            <v>Propysalic Plus 3% Lotion</v>
          </cell>
          <cell r="G197">
            <v>46508</v>
          </cell>
        </row>
        <row r="198">
          <cell r="B198" t="str">
            <v xml:space="preserve">Syndopa Plus 15 </v>
          </cell>
          <cell r="G198">
            <v>47270</v>
          </cell>
        </row>
        <row r="199">
          <cell r="B199" t="str">
            <v>Bilashine 40MG Tab</v>
          </cell>
          <cell r="G199">
            <v>46478</v>
          </cell>
        </row>
        <row r="200">
          <cell r="B200" t="str">
            <v>Betadine 10% Solution</v>
          </cell>
          <cell r="G200">
            <v>46539</v>
          </cell>
        </row>
        <row r="201">
          <cell r="B201" t="str">
            <v>Gelusil MPS Liquid 400 ML</v>
          </cell>
          <cell r="G201">
            <v>46478</v>
          </cell>
        </row>
        <row r="202">
          <cell r="B202" t="str">
            <v>Rexidin SRS Mouth Wash</v>
          </cell>
          <cell r="G202">
            <v>46508</v>
          </cell>
        </row>
        <row r="203">
          <cell r="B203" t="str">
            <v>Dersol 3% Ointment</v>
          </cell>
          <cell r="G203">
            <v>46327</v>
          </cell>
        </row>
        <row r="204">
          <cell r="B204" t="str">
            <v>Alista MP 500 Tablets</v>
          </cell>
          <cell r="G204">
            <v>46508</v>
          </cell>
        </row>
        <row r="205">
          <cell r="B205" t="str">
            <v>Mintop Alcohol Free 5% Solution</v>
          </cell>
          <cell r="G205">
            <v>46508</v>
          </cell>
        </row>
        <row r="206">
          <cell r="B206" t="str">
            <v>Luliford Cream 20gm</v>
          </cell>
          <cell r="G206">
            <v>46478</v>
          </cell>
        </row>
        <row r="207">
          <cell r="B207" t="str">
            <v>Glycomet Trio 1MG Tab</v>
          </cell>
          <cell r="G207">
            <v>46508</v>
          </cell>
        </row>
        <row r="208">
          <cell r="B208" t="str">
            <v>Luliford Cream 30gm</v>
          </cell>
          <cell r="G208">
            <v>46388</v>
          </cell>
        </row>
        <row r="209">
          <cell r="B209" t="str">
            <v>Istamet 50MG/500MG Tab</v>
          </cell>
          <cell r="G209">
            <v>46508</v>
          </cell>
        </row>
        <row r="210">
          <cell r="B210" t="str">
            <v>Ivoral Forte Tab©</v>
          </cell>
          <cell r="G210">
            <v>46844</v>
          </cell>
        </row>
        <row r="211">
          <cell r="B211" t="str">
            <v>Sompraz 40MG Tab</v>
          </cell>
          <cell r="G211">
            <v>46905</v>
          </cell>
        </row>
        <row r="212">
          <cell r="B212" t="str">
            <v>Ulgel Elaichi Susp</v>
          </cell>
          <cell r="G212">
            <v>46539</v>
          </cell>
        </row>
        <row r="213">
          <cell r="B213" t="str">
            <v>Thickify Ampm Tab</v>
          </cell>
          <cell r="G213">
            <v>46327</v>
          </cell>
        </row>
        <row r="214">
          <cell r="B214" t="str">
            <v>Freelac Oral Solution 100M</v>
          </cell>
          <cell r="G214">
            <v>46447</v>
          </cell>
        </row>
        <row r="215">
          <cell r="B215" t="str">
            <v>Lantus Catridge</v>
          </cell>
          <cell r="G215">
            <v>46539</v>
          </cell>
        </row>
        <row r="216">
          <cell r="B216" t="str">
            <v xml:space="preserve">Minichek Solution </v>
          </cell>
          <cell r="G216">
            <v>46204</v>
          </cell>
        </row>
        <row r="217">
          <cell r="B217" t="str">
            <v>EBAL 20</v>
          </cell>
          <cell r="G217">
            <v>46508</v>
          </cell>
        </row>
        <row r="218">
          <cell r="B218" t="str">
            <v>Petril MD 0.25mg Tab</v>
          </cell>
          <cell r="G218">
            <v>46054</v>
          </cell>
        </row>
        <row r="219">
          <cell r="B219" t="str">
            <v xml:space="preserve">Gluconorm SR Tab </v>
          </cell>
          <cell r="G219">
            <v>46447</v>
          </cell>
        </row>
        <row r="220">
          <cell r="B220" t="str">
            <v>Reclide 80MG Tab</v>
          </cell>
          <cell r="G220">
            <v>46143</v>
          </cell>
        </row>
        <row r="221">
          <cell r="B221" t="str">
            <v>Oilatum Kids Bar</v>
          </cell>
          <cell r="G221">
            <v>46357</v>
          </cell>
        </row>
        <row r="222">
          <cell r="B222" t="str">
            <v>Gabaneuron NT 100MG Tab</v>
          </cell>
          <cell r="G222">
            <v>46813</v>
          </cell>
        </row>
        <row r="223">
          <cell r="B223" t="str">
            <v>Volini Gel 100gm</v>
          </cell>
          <cell r="G223">
            <v>46539</v>
          </cell>
        </row>
        <row r="224">
          <cell r="B224" t="str">
            <v>Sizopin 25MG Tab</v>
          </cell>
          <cell r="G224">
            <v>47239</v>
          </cell>
        </row>
        <row r="225">
          <cell r="B225" t="str">
            <v xml:space="preserve">Rosuvas F 10MG </v>
          </cell>
          <cell r="G225">
            <v>46753</v>
          </cell>
        </row>
        <row r="226">
          <cell r="B226" t="str">
            <v xml:space="preserve">Amrith Noni Artho Plus Liquid </v>
          </cell>
          <cell r="G226">
            <v>46388</v>
          </cell>
        </row>
        <row r="227">
          <cell r="B227" t="str">
            <v>Mox 250MG Redimix 60ML</v>
          </cell>
          <cell r="G227">
            <v>46357</v>
          </cell>
        </row>
        <row r="228">
          <cell r="B228" t="str">
            <v>Imojac Ointment</v>
          </cell>
          <cell r="G228">
            <v>46447</v>
          </cell>
        </row>
        <row r="229">
          <cell r="B229" t="str">
            <v>Sensoform Paint 20ML</v>
          </cell>
          <cell r="G229">
            <v>46539</v>
          </cell>
        </row>
        <row r="230">
          <cell r="B230" t="str">
            <v>Zimvir 500MG Tab</v>
          </cell>
          <cell r="G230">
            <v>46082</v>
          </cell>
        </row>
        <row r="231">
          <cell r="B231" t="str">
            <v>Zimvir 1000MG Tab</v>
          </cell>
          <cell r="G231">
            <v>47515</v>
          </cell>
        </row>
        <row r="232">
          <cell r="B232" t="str">
            <v>Mascart CL</v>
          </cell>
          <cell r="G232">
            <v>46874</v>
          </cell>
        </row>
        <row r="233">
          <cell r="B233" t="str">
            <v>Kerabright Keratin Shampoo</v>
          </cell>
          <cell r="G233">
            <v>46508</v>
          </cell>
        </row>
        <row r="234">
          <cell r="B234" t="str">
            <v>Premarin 0.625MG Tab</v>
          </cell>
          <cell r="G234">
            <v>46753</v>
          </cell>
        </row>
        <row r="235">
          <cell r="B235" t="str">
            <v>Ascoril+ Expt 120ML</v>
          </cell>
          <cell r="G235">
            <v>46447</v>
          </cell>
        </row>
        <row r="236">
          <cell r="B236" t="str">
            <v>Megaheal Gel 50GM</v>
          </cell>
          <cell r="G236">
            <v>46419</v>
          </cell>
        </row>
        <row r="237">
          <cell r="B237" t="str">
            <v>Amlong 2.5MG Tab</v>
          </cell>
          <cell r="G237">
            <v>46813</v>
          </cell>
        </row>
        <row r="238">
          <cell r="B238" t="str">
            <v>Epilyno Lotion</v>
          </cell>
          <cell r="G238">
            <v>46419</v>
          </cell>
        </row>
        <row r="239">
          <cell r="B239" t="str">
            <v xml:space="preserve">Accu Chek </v>
          </cell>
          <cell r="G239">
            <v>46388</v>
          </cell>
        </row>
        <row r="240">
          <cell r="B240" t="str">
            <v xml:space="preserve">Accu Chek </v>
          </cell>
          <cell r="G240">
            <v>46388</v>
          </cell>
        </row>
        <row r="241">
          <cell r="B241" t="str">
            <v>Siloderm Cream</v>
          </cell>
          <cell r="G241">
            <v>46844</v>
          </cell>
        </row>
        <row r="242">
          <cell r="B242" t="str">
            <v>D 500 Cal Tab</v>
          </cell>
          <cell r="G242">
            <v>46447</v>
          </cell>
        </row>
        <row r="243">
          <cell r="B243" t="str">
            <v>Navison Classic Spray</v>
          </cell>
          <cell r="G243">
            <v>46692</v>
          </cell>
        </row>
        <row r="244">
          <cell r="B244" t="str">
            <v xml:space="preserve">Mucaine Gel Mint </v>
          </cell>
          <cell r="G244">
            <v>46844</v>
          </cell>
        </row>
        <row r="245">
          <cell r="B245" t="str">
            <v>Atogla Lotion</v>
          </cell>
          <cell r="G245">
            <v>46478</v>
          </cell>
        </row>
        <row r="246">
          <cell r="B246" t="str">
            <v>MX-F 5% Topical Solution</v>
          </cell>
          <cell r="G246">
            <v>46508</v>
          </cell>
        </row>
        <row r="247">
          <cell r="B247" t="str">
            <v>Moisturex Hydra Gel</v>
          </cell>
          <cell r="G247">
            <v>46478</v>
          </cell>
        </row>
        <row r="248">
          <cell r="B248" t="str">
            <v>Meganeuron OD Plus</v>
          </cell>
          <cell r="G248">
            <v>46539</v>
          </cell>
        </row>
        <row r="249">
          <cell r="B249" t="str">
            <v>Hhsone Cream</v>
          </cell>
          <cell r="G249">
            <v>46478</v>
          </cell>
        </row>
        <row r="250">
          <cell r="B250" t="str">
            <v>Macsart CL Tab</v>
          </cell>
          <cell r="G250">
            <v>46874</v>
          </cell>
        </row>
        <row r="251">
          <cell r="B251" t="str">
            <v>Envas 10MG Tab</v>
          </cell>
          <cell r="G251">
            <v>46844</v>
          </cell>
        </row>
        <row r="252">
          <cell r="B252" t="str">
            <v>Stolin Gum Astringent</v>
          </cell>
          <cell r="G252">
            <v>46539</v>
          </cell>
        </row>
        <row r="253">
          <cell r="B253" t="str">
            <v>02 New Suspension</v>
          </cell>
          <cell r="G253">
            <v>46874</v>
          </cell>
        </row>
        <row r="254">
          <cell r="B254" t="str">
            <v>Seloken XL 25MG Tab</v>
          </cell>
          <cell r="G254">
            <v>46600</v>
          </cell>
        </row>
        <row r="255">
          <cell r="B255" t="str">
            <v>Shelcal HD Tab</v>
          </cell>
          <cell r="G255">
            <v>46539</v>
          </cell>
        </row>
        <row r="256">
          <cell r="B256" t="str">
            <v>Ascoril SF Syrup</v>
          </cell>
          <cell r="G256">
            <v>46508</v>
          </cell>
        </row>
        <row r="257">
          <cell r="B257" t="str">
            <v>P-500 Suspension</v>
          </cell>
          <cell r="G257">
            <v>46600</v>
          </cell>
        </row>
        <row r="258">
          <cell r="B258" t="str">
            <v>Thhronorm-50</v>
          </cell>
          <cell r="G258">
            <v>46569</v>
          </cell>
        </row>
        <row r="259">
          <cell r="B259" t="str">
            <v>Hum-Actrapid</v>
          </cell>
          <cell r="G259">
            <v>46631</v>
          </cell>
        </row>
        <row r="260">
          <cell r="B260" t="str">
            <v>Glynium VT Inhaler</v>
          </cell>
          <cell r="G260">
            <v>46143</v>
          </cell>
        </row>
        <row r="261">
          <cell r="B261" t="str">
            <v>Coaltar S Lotion</v>
          </cell>
          <cell r="G261">
            <v>46388</v>
          </cell>
        </row>
        <row r="262">
          <cell r="B262" t="str">
            <v>Roseday 10MG Tab</v>
          </cell>
          <cell r="G262">
            <v>46722</v>
          </cell>
        </row>
        <row r="263">
          <cell r="B263" t="str">
            <v>Canesten Cream 30GM</v>
          </cell>
          <cell r="G263">
            <v>46539</v>
          </cell>
        </row>
        <row r="264">
          <cell r="B264" t="str">
            <v>Omnix 100 Dry Syrup</v>
          </cell>
          <cell r="G264">
            <v>46388</v>
          </cell>
        </row>
        <row r="265">
          <cell r="B265" t="str">
            <v>Lumispark Cream 20G</v>
          </cell>
          <cell r="G265">
            <v>46508</v>
          </cell>
        </row>
        <row r="266">
          <cell r="B266" t="str">
            <v>Torvate 500MG Tab</v>
          </cell>
          <cell r="G266">
            <v>46844</v>
          </cell>
        </row>
        <row r="267">
          <cell r="B267" t="str">
            <v>Triclear N Gel 20GM</v>
          </cell>
          <cell r="G267">
            <v>46844</v>
          </cell>
        </row>
        <row r="268">
          <cell r="B268" t="str">
            <v>Carmax Cap</v>
          </cell>
          <cell r="G268">
            <v>46478</v>
          </cell>
        </row>
        <row r="269">
          <cell r="B269" t="str">
            <v>Lifanta Eye Drops</v>
          </cell>
          <cell r="G269">
            <v>46539</v>
          </cell>
        </row>
        <row r="270">
          <cell r="B270" t="str">
            <v>Aquasoft FC Cream</v>
          </cell>
          <cell r="G270">
            <v>46388</v>
          </cell>
        </row>
        <row r="271">
          <cell r="B271" t="str">
            <v>Zincovit Syrup</v>
          </cell>
          <cell r="G271">
            <v>46174</v>
          </cell>
        </row>
        <row r="272">
          <cell r="B272" t="str">
            <v>Metrogyl 200MG Tab</v>
          </cell>
          <cell r="G272">
            <v>47178</v>
          </cell>
        </row>
        <row r="273">
          <cell r="B273" t="str">
            <v>Xymoheald D Tab</v>
          </cell>
          <cell r="G273">
            <v>46508</v>
          </cell>
        </row>
        <row r="274">
          <cell r="B274" t="str">
            <v>Onabet Cream 15GM</v>
          </cell>
          <cell r="G274">
            <v>46569</v>
          </cell>
        </row>
        <row r="275">
          <cell r="B275" t="str">
            <v>Glyciphage G1</v>
          </cell>
          <cell r="G275">
            <v>46661</v>
          </cell>
        </row>
        <row r="276">
          <cell r="B276" t="str">
            <v>Meladuce Face Serum</v>
          </cell>
          <cell r="G276">
            <v>46388</v>
          </cell>
        </row>
        <row r="277">
          <cell r="B277" t="str">
            <v>Atorva Gold 10MG Cap</v>
          </cell>
          <cell r="G277">
            <v>46478</v>
          </cell>
        </row>
        <row r="278">
          <cell r="B278" t="str">
            <v>Thrombphob Ointment</v>
          </cell>
          <cell r="G278">
            <v>46784</v>
          </cell>
        </row>
        <row r="279">
          <cell r="B279" t="str">
            <v>Becadexamin Caps</v>
          </cell>
          <cell r="G279">
            <v>46296</v>
          </cell>
        </row>
        <row r="280">
          <cell r="B280" t="str">
            <v>Cosglo New Cream</v>
          </cell>
          <cell r="G280">
            <v>46539</v>
          </cell>
        </row>
        <row r="281">
          <cell r="B281" t="str">
            <v>8X Shampoo</v>
          </cell>
          <cell r="G281">
            <v>46539</v>
          </cell>
        </row>
        <row r="282">
          <cell r="B282" t="str">
            <v>Tedibar Ceramax [75GM]</v>
          </cell>
          <cell r="G282">
            <v>46569</v>
          </cell>
        </row>
        <row r="283">
          <cell r="B283" t="str">
            <v>Omnitah H</v>
          </cell>
          <cell r="G283">
            <v>46569</v>
          </cell>
        </row>
        <row r="284">
          <cell r="B284" t="str">
            <v>Eltroxin 100MG Tabs</v>
          </cell>
          <cell r="G284">
            <v>47331</v>
          </cell>
        </row>
        <row r="285">
          <cell r="B285" t="str">
            <v>Acitrom 3MG Tab</v>
          </cell>
          <cell r="G285">
            <v>46357</v>
          </cell>
        </row>
        <row r="286">
          <cell r="B286" t="str">
            <v>Unwanted 72</v>
          </cell>
          <cell r="G286">
            <v>46874</v>
          </cell>
        </row>
        <row r="287">
          <cell r="B287" t="str">
            <v>Gluformin G2 Tabs</v>
          </cell>
          <cell r="G287">
            <v>46478</v>
          </cell>
        </row>
        <row r="288">
          <cell r="B288" t="str">
            <v>Asthalin 4MG Tabs</v>
          </cell>
          <cell r="G288">
            <v>46478</v>
          </cell>
        </row>
        <row r="289">
          <cell r="B289" t="str">
            <v>Unwanted 21 Days</v>
          </cell>
          <cell r="G289">
            <v>46874</v>
          </cell>
        </row>
        <row r="290">
          <cell r="B290" t="str">
            <v>Telma 40MG Tab</v>
          </cell>
          <cell r="G290">
            <v>46539</v>
          </cell>
        </row>
        <row r="291">
          <cell r="B291" t="str">
            <v>Amlopin 5MG Tablets</v>
          </cell>
          <cell r="G291">
            <v>46631</v>
          </cell>
        </row>
        <row r="292">
          <cell r="B292" t="str">
            <v>Ketorol DT Tablets</v>
          </cell>
          <cell r="G292">
            <v>46357</v>
          </cell>
        </row>
        <row r="293">
          <cell r="B293" t="str">
            <v>Telmikind AM Tab</v>
          </cell>
          <cell r="G293">
            <v>46905</v>
          </cell>
        </row>
        <row r="294">
          <cell r="B294" t="str">
            <v>Zincovit Syrup</v>
          </cell>
          <cell r="G294">
            <v>46539</v>
          </cell>
        </row>
        <row r="295">
          <cell r="B295" t="str">
            <v>Melalumin Under Eye Serum</v>
          </cell>
          <cell r="G295">
            <v>46357</v>
          </cell>
        </row>
        <row r="296">
          <cell r="B296" t="str">
            <v>LA Shield Max Sunscreen Lotion</v>
          </cell>
          <cell r="G296">
            <v>46539</v>
          </cell>
        </row>
        <row r="297">
          <cell r="B297" t="str">
            <v>Photon Sunscreen</v>
          </cell>
          <cell r="G297">
            <v>46419</v>
          </cell>
        </row>
        <row r="298">
          <cell r="B298" t="str">
            <v>Cuticlair Revive Face Serum</v>
          </cell>
          <cell r="G298">
            <v>46539</v>
          </cell>
        </row>
        <row r="299">
          <cell r="B299" t="str">
            <v>Nanofast Gel</v>
          </cell>
          <cell r="G299">
            <v>46447</v>
          </cell>
        </row>
        <row r="300">
          <cell r="B300" t="str">
            <v>Renu MP 120ML Solution</v>
          </cell>
          <cell r="G300">
            <v>46419</v>
          </cell>
        </row>
        <row r="301">
          <cell r="B301" t="str">
            <v>Imxia F 5% Solution</v>
          </cell>
          <cell r="G301">
            <v>46539</v>
          </cell>
        </row>
        <row r="302">
          <cell r="B302" t="str">
            <v>Eltroxin 25MCG Tab</v>
          </cell>
          <cell r="G302">
            <v>46296</v>
          </cell>
        </row>
        <row r="303">
          <cell r="B303" t="str">
            <v>Momate Cream 20GMS</v>
          </cell>
          <cell r="G303">
            <v>46569</v>
          </cell>
        </row>
        <row r="304">
          <cell r="B304" t="str">
            <v>Optineuron INJ</v>
          </cell>
          <cell r="G304">
            <v>46357</v>
          </cell>
        </row>
        <row r="305">
          <cell r="B305" t="str">
            <v>Translol XL-50 Tab</v>
          </cell>
          <cell r="G305">
            <v>46478</v>
          </cell>
        </row>
        <row r="306">
          <cell r="B306" t="str">
            <v>Sino D3 Cap(60K)</v>
          </cell>
          <cell r="G306">
            <v>46419</v>
          </cell>
        </row>
        <row r="307">
          <cell r="B307" t="str">
            <v>Momentsone Cream</v>
          </cell>
          <cell r="G307">
            <v>46508</v>
          </cell>
        </row>
        <row r="308">
          <cell r="B308" t="str">
            <v>Ethiglo Serum</v>
          </cell>
          <cell r="G308">
            <v>46447</v>
          </cell>
        </row>
        <row r="309">
          <cell r="B309" t="str">
            <v>Clocip B Cream</v>
          </cell>
          <cell r="G309">
            <v>46478</v>
          </cell>
        </row>
        <row r="310">
          <cell r="B310" t="str">
            <v>Glucreta M 10+500MG Tab</v>
          </cell>
          <cell r="G310">
            <v>46478</v>
          </cell>
        </row>
        <row r="311">
          <cell r="B311" t="str">
            <v>Softovac 250GM</v>
          </cell>
          <cell r="G311">
            <v>46844</v>
          </cell>
        </row>
        <row r="312">
          <cell r="B312" t="str">
            <v>Hadensa Oint</v>
          </cell>
          <cell r="G312">
            <v>47635</v>
          </cell>
        </row>
        <row r="313">
          <cell r="B313" t="str">
            <v>Thyronorm 75MCG</v>
          </cell>
          <cell r="G313">
            <v>46569</v>
          </cell>
        </row>
        <row r="314">
          <cell r="B314" t="str">
            <v>Alkof DX Cough SYP</v>
          </cell>
          <cell r="G314">
            <v>46508</v>
          </cell>
        </row>
        <row r="315">
          <cell r="B315" t="str">
            <v>EASI Breathe Caps</v>
          </cell>
          <cell r="G315">
            <v>46204</v>
          </cell>
        </row>
        <row r="316">
          <cell r="B316" t="str">
            <v>Eltroxin 50 MCG Tab</v>
          </cell>
          <cell r="G316">
            <v>46327</v>
          </cell>
        </row>
        <row r="317">
          <cell r="B317" t="str">
            <v>Disokem Lotion</v>
          </cell>
          <cell r="G317">
            <v>46419</v>
          </cell>
        </row>
        <row r="318">
          <cell r="B318" t="str">
            <v>Fairvit Soap</v>
          </cell>
          <cell r="G318">
            <v>46874</v>
          </cell>
        </row>
        <row r="319">
          <cell r="B319" t="str">
            <v>Minoking-50 DT</v>
          </cell>
          <cell r="G319">
            <v>46327</v>
          </cell>
        </row>
        <row r="320">
          <cell r="B320" t="str">
            <v>Tacroz Forte Oint</v>
          </cell>
          <cell r="G320">
            <v>46508</v>
          </cell>
        </row>
        <row r="321">
          <cell r="B321" t="str">
            <v>MOX 250 Caps</v>
          </cell>
          <cell r="G321">
            <v>46539</v>
          </cell>
        </row>
        <row r="322">
          <cell r="B322" t="str">
            <v>Zedex 100ml Syrup</v>
          </cell>
          <cell r="G322">
            <v>46569</v>
          </cell>
        </row>
        <row r="323">
          <cell r="B323" t="str">
            <v>Thickify Ampm Tab</v>
          </cell>
          <cell r="G323">
            <v>46235</v>
          </cell>
        </row>
        <row r="324">
          <cell r="B324" t="str">
            <v>Nexpro RD 40MG Caps</v>
          </cell>
          <cell r="G324">
            <v>46508</v>
          </cell>
        </row>
        <row r="325">
          <cell r="B325" t="str">
            <v>Glutaclair Tablet</v>
          </cell>
          <cell r="G325">
            <v>46327</v>
          </cell>
        </row>
        <row r="326">
          <cell r="B326" t="str">
            <v>Amorolkite Cream</v>
          </cell>
          <cell r="G326">
            <v>46508</v>
          </cell>
        </row>
        <row r="327">
          <cell r="B327" t="str">
            <v>Cuticlair Anti Acne Face Serum</v>
          </cell>
          <cell r="G327">
            <v>45962</v>
          </cell>
        </row>
        <row r="328">
          <cell r="B328" t="str">
            <v>Ebruma Cream</v>
          </cell>
          <cell r="G328">
            <v>46508</v>
          </cell>
        </row>
        <row r="329">
          <cell r="B329" t="str">
            <v xml:space="preserve">Lulifight </v>
          </cell>
          <cell r="G329">
            <v>45992</v>
          </cell>
        </row>
        <row r="330">
          <cell r="B330" t="str">
            <v>Lulikite Cream</v>
          </cell>
          <cell r="G330">
            <v>46508</v>
          </cell>
        </row>
        <row r="331">
          <cell r="B331" t="str">
            <v>Momentsone Cream</v>
          </cell>
          <cell r="G331">
            <v>46508</v>
          </cell>
        </row>
        <row r="332">
          <cell r="B332" t="str">
            <v>Pepgain Advance Tablet</v>
          </cell>
          <cell r="G332">
            <v>46327</v>
          </cell>
        </row>
        <row r="333">
          <cell r="B333" t="str">
            <v>Sunshield Sunscreen SPF</v>
          </cell>
          <cell r="G333">
            <v>46357</v>
          </cell>
        </row>
        <row r="334">
          <cell r="B334" t="str">
            <v>Cuticlair Advance Foaming F/W</v>
          </cell>
          <cell r="G334">
            <v>46388</v>
          </cell>
        </row>
        <row r="335">
          <cell r="B335" t="str">
            <v>Momentsone Cream</v>
          </cell>
          <cell r="G335">
            <v>46508</v>
          </cell>
        </row>
        <row r="336">
          <cell r="B336" t="str">
            <v>Pepgain MF Forte Solution</v>
          </cell>
          <cell r="G336">
            <v>46539</v>
          </cell>
        </row>
        <row r="337">
          <cell r="B337" t="str">
            <v>Cuticlair Body Acne Spray</v>
          </cell>
          <cell r="G337">
            <v>46569</v>
          </cell>
        </row>
        <row r="338">
          <cell r="B338" t="str">
            <v>Ebruma Cream</v>
          </cell>
          <cell r="G338">
            <v>46508</v>
          </cell>
        </row>
        <row r="339">
          <cell r="B339" t="str">
            <v>Momentsone Cream</v>
          </cell>
          <cell r="G339">
            <v>46874</v>
          </cell>
        </row>
        <row r="340">
          <cell r="B340" t="str">
            <v>Momentsone F Cream</v>
          </cell>
          <cell r="G340">
            <v>46539</v>
          </cell>
        </row>
        <row r="341">
          <cell r="B341" t="str">
            <v>Pepgain Eva Tablet</v>
          </cell>
          <cell r="G341">
            <v>46388</v>
          </cell>
        </row>
        <row r="342">
          <cell r="B342" t="str">
            <v>Cuticlair Revive Face Serum</v>
          </cell>
          <cell r="G342">
            <v>46539</v>
          </cell>
        </row>
        <row r="343">
          <cell r="B343" t="str">
            <v>Cuticlair Advance Foaming F/W</v>
          </cell>
          <cell r="G343">
            <v>46569</v>
          </cell>
        </row>
        <row r="344">
          <cell r="B344" t="str">
            <v>Cuticlair Anti Acne Face Serum</v>
          </cell>
          <cell r="G344">
            <v>45962</v>
          </cell>
        </row>
        <row r="345">
          <cell r="B345" t="str">
            <v>Ketobright Shampoo</v>
          </cell>
          <cell r="G345">
            <v>46569</v>
          </cell>
        </row>
        <row r="346">
          <cell r="B346" t="str">
            <v>Neuroprime Plus Capsules</v>
          </cell>
          <cell r="G346">
            <v>46539</v>
          </cell>
        </row>
        <row r="347">
          <cell r="B347" t="str">
            <v>Allsuth Lotion</v>
          </cell>
          <cell r="G347">
            <v>46419</v>
          </cell>
        </row>
        <row r="348">
          <cell r="B348" t="str">
            <v>Cilnipres T Tab</v>
          </cell>
          <cell r="G348">
            <v>46447</v>
          </cell>
        </row>
        <row r="349">
          <cell r="B349" t="str">
            <v>Empaone 25MG Tab</v>
          </cell>
          <cell r="G349">
            <v>47239</v>
          </cell>
        </row>
        <row r="350">
          <cell r="B350" t="str">
            <v>Tolaz DT 5MG Tab</v>
          </cell>
          <cell r="G350">
            <v>46478</v>
          </cell>
        </row>
        <row r="351">
          <cell r="B351" t="str">
            <v>Rosmi 10MG Tab</v>
          </cell>
          <cell r="G351">
            <v>46296</v>
          </cell>
        </row>
        <row r="352">
          <cell r="B352" t="str">
            <v>C-PRO Cream 30GM</v>
          </cell>
          <cell r="G352">
            <v>46266</v>
          </cell>
        </row>
        <row r="353">
          <cell r="B353" t="str">
            <v>Siotone Cap</v>
          </cell>
          <cell r="G353">
            <v>46722</v>
          </cell>
        </row>
        <row r="354">
          <cell r="B354" t="str">
            <v>Siotone Cap</v>
          </cell>
          <cell r="G354">
            <v>46722</v>
          </cell>
        </row>
        <row r="355">
          <cell r="B355" t="str">
            <v>4U-Q10 Plus Cap</v>
          </cell>
          <cell r="G355">
            <v>46388</v>
          </cell>
        </row>
        <row r="356">
          <cell r="B356" t="str">
            <v>4U-Q10 Plus Cap</v>
          </cell>
          <cell r="G356">
            <v>46419</v>
          </cell>
        </row>
        <row r="357">
          <cell r="B357" t="str">
            <v>Suprafung Cream 50GM</v>
          </cell>
          <cell r="G357">
            <v>46508</v>
          </cell>
        </row>
        <row r="358">
          <cell r="B358" t="str">
            <v>Glycomet GP 1 Tabs</v>
          </cell>
          <cell r="G358">
            <v>46447</v>
          </cell>
        </row>
        <row r="359">
          <cell r="B359" t="str">
            <v>Dapanorm Trio Forte Tab</v>
          </cell>
          <cell r="G359">
            <v>46447</v>
          </cell>
        </row>
        <row r="360">
          <cell r="B360" t="str">
            <v>Ciplox D Eye Drops</v>
          </cell>
          <cell r="G360">
            <v>46631</v>
          </cell>
        </row>
        <row r="361">
          <cell r="B361" t="str">
            <v>Lubrex Eye Drops</v>
          </cell>
          <cell r="G361">
            <v>46600</v>
          </cell>
        </row>
        <row r="362">
          <cell r="B362" t="str">
            <v>Allegra 180MG Tab</v>
          </cell>
          <cell r="G362">
            <v>46508</v>
          </cell>
        </row>
        <row r="363">
          <cell r="B363" t="str">
            <v>Jointace Tab</v>
          </cell>
          <cell r="G363">
            <v>46539</v>
          </cell>
        </row>
        <row r="364">
          <cell r="B364" t="str">
            <v xml:space="preserve">Hansaplast WaterProof </v>
          </cell>
          <cell r="G364">
            <v>46905</v>
          </cell>
        </row>
        <row r="365">
          <cell r="B365" t="str">
            <v>Claribid 250MG Tab</v>
          </cell>
          <cell r="G365">
            <v>46569</v>
          </cell>
        </row>
        <row r="366">
          <cell r="B366" t="str">
            <v>Dermadew Soap</v>
          </cell>
          <cell r="G366">
            <v>46844</v>
          </cell>
        </row>
        <row r="367">
          <cell r="B367" t="str">
            <v xml:space="preserve">Ulgeraft Syrup </v>
          </cell>
          <cell r="G367">
            <v>46539</v>
          </cell>
        </row>
        <row r="368">
          <cell r="B368" t="str">
            <v>Olesoft Lite Moisturize</v>
          </cell>
          <cell r="G368">
            <v>46508</v>
          </cell>
        </row>
        <row r="369">
          <cell r="B369" t="str">
            <v>Acnemoist Cream</v>
          </cell>
          <cell r="G369">
            <v>46631</v>
          </cell>
        </row>
        <row r="370">
          <cell r="B370" t="str">
            <v>Suncros Neo Gel</v>
          </cell>
          <cell r="G370">
            <v>46419</v>
          </cell>
        </row>
        <row r="371">
          <cell r="B371" t="str">
            <v>Stalix D 10+ 100MG Tabs</v>
          </cell>
          <cell r="G371">
            <v>46478</v>
          </cell>
        </row>
        <row r="372">
          <cell r="B372" t="str">
            <v>Dermadew Soap</v>
          </cell>
          <cell r="G372">
            <v>46539</v>
          </cell>
        </row>
        <row r="373">
          <cell r="B373" t="str">
            <v>Aciloc 150 Tab</v>
          </cell>
          <cell r="G373">
            <v>46753</v>
          </cell>
        </row>
        <row r="374">
          <cell r="B374" t="str">
            <v>Bimat LS Eye Drops</v>
          </cell>
          <cell r="G374">
            <v>46478</v>
          </cell>
        </row>
        <row r="375">
          <cell r="B375" t="str">
            <v>Megaheal Gel 50GM</v>
          </cell>
          <cell r="G375">
            <v>46478</v>
          </cell>
        </row>
        <row r="376">
          <cell r="B376" t="str">
            <v>Orvas 10MG Tabs</v>
          </cell>
          <cell r="G376">
            <v>46508</v>
          </cell>
        </row>
        <row r="377">
          <cell r="B377" t="str">
            <v>Jointace Tab</v>
          </cell>
          <cell r="G377">
            <v>46539</v>
          </cell>
        </row>
        <row r="378">
          <cell r="B378" t="str">
            <v>Lubrex Eye Drops</v>
          </cell>
          <cell r="G378">
            <v>46600</v>
          </cell>
        </row>
        <row r="379">
          <cell r="B379" t="str">
            <v>Nucoxia 90 Tab</v>
          </cell>
          <cell r="G379">
            <v>46539</v>
          </cell>
        </row>
        <row r="380">
          <cell r="B380" t="str">
            <v>Suncros Soft Gel</v>
          </cell>
          <cell r="G380">
            <v>46600</v>
          </cell>
        </row>
        <row r="381">
          <cell r="B381" t="str">
            <v>Tripide 2MG Tab</v>
          </cell>
          <cell r="G381">
            <v>46753</v>
          </cell>
        </row>
        <row r="382">
          <cell r="B382" t="str">
            <v>Tenefit M Tab</v>
          </cell>
          <cell r="G382">
            <v>46447</v>
          </cell>
        </row>
        <row r="383">
          <cell r="B383" t="str">
            <v>Glycomet 500 SR Tabs</v>
          </cell>
          <cell r="G383">
            <v>46844</v>
          </cell>
        </row>
        <row r="384">
          <cell r="B384" t="str">
            <v>Clohex 150 ML</v>
          </cell>
          <cell r="G384">
            <v>46539</v>
          </cell>
        </row>
        <row r="385">
          <cell r="B385" t="str">
            <v>Concor 5 Tabs</v>
          </cell>
          <cell r="G385">
            <v>46569</v>
          </cell>
        </row>
        <row r="386">
          <cell r="B386" t="str">
            <v>Melaglow New Cream</v>
          </cell>
          <cell r="G386">
            <v>46600</v>
          </cell>
        </row>
        <row r="387">
          <cell r="B387" t="str">
            <v>Pynomax TX Face Serum</v>
          </cell>
          <cell r="G387">
            <v>46478</v>
          </cell>
        </row>
        <row r="388">
          <cell r="B388" t="str">
            <v>Nezaflo Nasal Spray</v>
          </cell>
          <cell r="G388">
            <v>46478</v>
          </cell>
        </row>
        <row r="389">
          <cell r="B389" t="str">
            <v>Keto B Cream</v>
          </cell>
          <cell r="G389">
            <v>46539</v>
          </cell>
        </row>
        <row r="390">
          <cell r="B390" t="str">
            <v>Clearwax Ear Drops</v>
          </cell>
          <cell r="G390">
            <v>46447</v>
          </cell>
        </row>
        <row r="391">
          <cell r="B391" t="str">
            <v>Trapic MF Tab</v>
          </cell>
          <cell r="G391">
            <v>46508</v>
          </cell>
        </row>
        <row r="392">
          <cell r="B392" t="str">
            <v>Reactin 50MG Tab</v>
          </cell>
          <cell r="G392">
            <v>46478</v>
          </cell>
        </row>
        <row r="393">
          <cell r="B393" t="str">
            <v>Remetor F</v>
          </cell>
          <cell r="G393">
            <v>46388</v>
          </cell>
        </row>
        <row r="394">
          <cell r="B394" t="str">
            <v>Remetor F</v>
          </cell>
          <cell r="G394">
            <v>46478</v>
          </cell>
        </row>
        <row r="395">
          <cell r="B395" t="str">
            <v>Dermadew Aloe Plus</v>
          </cell>
          <cell r="G395">
            <v>46478</v>
          </cell>
        </row>
        <row r="396">
          <cell r="B396" t="str">
            <v>Medomol SP Tabs</v>
          </cell>
          <cell r="G396">
            <v>46569</v>
          </cell>
        </row>
        <row r="397">
          <cell r="B397" t="str">
            <v>Becosules Plus Syrup</v>
          </cell>
          <cell r="G397">
            <v>46204</v>
          </cell>
        </row>
        <row r="398">
          <cell r="B398" t="str">
            <v>Eltroxin Tablets</v>
          </cell>
          <cell r="G398">
            <v>46327</v>
          </cell>
        </row>
        <row r="399">
          <cell r="B399" t="str">
            <v>Levipil 250MG Tab</v>
          </cell>
          <cell r="G399">
            <v>47761</v>
          </cell>
        </row>
        <row r="400">
          <cell r="B400" t="str">
            <v xml:space="preserve">Volini Maxx Spray </v>
          </cell>
          <cell r="G400">
            <v>46419</v>
          </cell>
        </row>
        <row r="401">
          <cell r="B401" t="str">
            <v>Electral Powder(BIG)</v>
          </cell>
          <cell r="G401">
            <v>46539</v>
          </cell>
        </row>
        <row r="402">
          <cell r="B402" t="str">
            <v>Triobimet 2</v>
          </cell>
          <cell r="G402">
            <v>46478</v>
          </cell>
        </row>
        <row r="403">
          <cell r="B403" t="str">
            <v>Tazloc Trio 40 Tabs</v>
          </cell>
          <cell r="G403">
            <v>46539</v>
          </cell>
        </row>
        <row r="404">
          <cell r="B404" t="str">
            <v>Emolene Cream</v>
          </cell>
          <cell r="G404">
            <v>46478</v>
          </cell>
        </row>
        <row r="405">
          <cell r="B405" t="str">
            <v>Farehance Brightening Serum</v>
          </cell>
          <cell r="G405">
            <v>46508</v>
          </cell>
        </row>
        <row r="406">
          <cell r="B406" t="str">
            <v>Behance Sunscreen</v>
          </cell>
          <cell r="G406">
            <v>46357</v>
          </cell>
        </row>
        <row r="407">
          <cell r="B407" t="str">
            <v>Amrfy Cream</v>
          </cell>
          <cell r="G407">
            <v>46508</v>
          </cell>
        </row>
        <row r="408">
          <cell r="B408" t="str">
            <v>Eyecirque Advance</v>
          </cell>
          <cell r="G408">
            <v>46388</v>
          </cell>
        </row>
        <row r="409">
          <cell r="B409" t="str">
            <v>Acnewin Face Wash</v>
          </cell>
          <cell r="G409">
            <v>46905</v>
          </cell>
        </row>
        <row r="410">
          <cell r="B410" t="str">
            <v>Omnigel 50GM</v>
          </cell>
          <cell r="G410">
            <v>46447</v>
          </cell>
        </row>
        <row r="411">
          <cell r="B411" t="str">
            <v>Clop S Nano Lotion</v>
          </cell>
          <cell r="G411">
            <v>46539</v>
          </cell>
        </row>
        <row r="412">
          <cell r="B412" t="str">
            <v>Meprate 10MG Tab</v>
          </cell>
          <cell r="G412">
            <v>46966</v>
          </cell>
        </row>
        <row r="413">
          <cell r="B413" t="str">
            <v>Ebal 20</v>
          </cell>
          <cell r="G413">
            <v>46508</v>
          </cell>
        </row>
        <row r="414">
          <cell r="B414" t="str">
            <v>Folica Hair Tincture</v>
          </cell>
          <cell r="G414">
            <v>46874</v>
          </cell>
        </row>
        <row r="415">
          <cell r="B415" t="str">
            <v>Maxirich Multivitamins Caps</v>
          </cell>
          <cell r="G415">
            <v>46357</v>
          </cell>
        </row>
        <row r="416">
          <cell r="B416" t="str">
            <v>Cipcal D3 Caps</v>
          </cell>
          <cell r="G416">
            <v>46388</v>
          </cell>
        </row>
        <row r="417">
          <cell r="B417" t="str">
            <v>Enerzal Orange Sach 100GM</v>
          </cell>
          <cell r="G417">
            <v>46478</v>
          </cell>
        </row>
        <row r="418">
          <cell r="B418" t="str">
            <v>Aerocort Rotacaps 60'S</v>
          </cell>
          <cell r="G418">
            <v>46327</v>
          </cell>
        </row>
        <row r="419">
          <cell r="B419" t="str">
            <v>Sitaxa M 50+500 Tab</v>
          </cell>
          <cell r="G419">
            <v>46569</v>
          </cell>
        </row>
        <row r="420">
          <cell r="B420" t="str">
            <v>Calosoft AF Lotion</v>
          </cell>
          <cell r="G420">
            <v>46478</v>
          </cell>
        </row>
        <row r="421">
          <cell r="B421" t="str">
            <v>Aldigesic MR Tab</v>
          </cell>
          <cell r="G421">
            <v>46357</v>
          </cell>
        </row>
        <row r="422">
          <cell r="B422" t="str">
            <v>NMF E Lip Care</v>
          </cell>
          <cell r="G422">
            <v>46905</v>
          </cell>
        </row>
        <row r="423">
          <cell r="B423" t="str">
            <v xml:space="preserve">Udcament Susp </v>
          </cell>
          <cell r="G423">
            <v>46296</v>
          </cell>
        </row>
        <row r="424">
          <cell r="B424" t="str">
            <v xml:space="preserve">Udcament Susp </v>
          </cell>
          <cell r="G424">
            <v>46296</v>
          </cell>
        </row>
        <row r="425">
          <cell r="B425" t="str">
            <v>Pankajakasthuri B/E SYP</v>
          </cell>
          <cell r="G425">
            <v>46508</v>
          </cell>
        </row>
        <row r="426">
          <cell r="B426" t="str">
            <v>Cetaphil Moisturising</v>
          </cell>
          <cell r="G426">
            <v>46874</v>
          </cell>
        </row>
        <row r="427">
          <cell r="B427" t="str">
            <v xml:space="preserve">Lulifin Lotion </v>
          </cell>
          <cell r="G427">
            <v>46447</v>
          </cell>
        </row>
        <row r="428">
          <cell r="B428" t="str">
            <v xml:space="preserve">Aquahance Advanced </v>
          </cell>
          <cell r="G428">
            <v>46266</v>
          </cell>
        </row>
        <row r="429">
          <cell r="B429" t="str">
            <v>Acne UV Gel</v>
          </cell>
          <cell r="G429">
            <v>46388</v>
          </cell>
        </row>
        <row r="430">
          <cell r="B430" t="str">
            <v>Fixon Cream</v>
          </cell>
          <cell r="G430">
            <v>46844</v>
          </cell>
        </row>
        <row r="431">
          <cell r="B431" t="str">
            <v>Scar KT</v>
          </cell>
          <cell r="G431">
            <v>46235</v>
          </cell>
        </row>
        <row r="432">
          <cell r="B432" t="str">
            <v>Losakind 50 Tab</v>
          </cell>
          <cell r="G432">
            <v>46661</v>
          </cell>
        </row>
        <row r="433">
          <cell r="B433" t="str">
            <v>Finax 1MG Tab</v>
          </cell>
          <cell r="G433">
            <v>46539</v>
          </cell>
        </row>
        <row r="434">
          <cell r="B434" t="str">
            <v>Teczine 10MG Tab</v>
          </cell>
          <cell r="G434">
            <v>46447</v>
          </cell>
        </row>
        <row r="435">
          <cell r="B435" t="str">
            <v>Demelan Cream</v>
          </cell>
          <cell r="G435">
            <v>46569</v>
          </cell>
        </row>
        <row r="436">
          <cell r="B436" t="str">
            <v>Vomikind MD 4</v>
          </cell>
          <cell r="G436">
            <v>46478</v>
          </cell>
        </row>
        <row r="437">
          <cell r="B437" t="str">
            <v>Olmecip H Tab</v>
          </cell>
          <cell r="G437">
            <v>46508</v>
          </cell>
        </row>
        <row r="438">
          <cell r="B438" t="str">
            <v>Stemetil MD Tab</v>
          </cell>
          <cell r="G438">
            <v>46296</v>
          </cell>
        </row>
        <row r="439">
          <cell r="B439" t="str">
            <v>Clohex ADS M/Wash</v>
          </cell>
          <cell r="G439">
            <v>46569</v>
          </cell>
        </row>
        <row r="440">
          <cell r="B440" t="str">
            <v>Fixon Powder</v>
          </cell>
          <cell r="G440">
            <v>47635</v>
          </cell>
        </row>
        <row r="441">
          <cell r="B441" t="str">
            <v>Orsl Apple</v>
          </cell>
          <cell r="G441">
            <v>46174</v>
          </cell>
        </row>
        <row r="442">
          <cell r="B442" t="str">
            <v>Eberfine XL Cream</v>
          </cell>
          <cell r="G442">
            <v>46419</v>
          </cell>
        </row>
        <row r="443">
          <cell r="B443" t="str">
            <v>Lomotil 20 Tab</v>
          </cell>
          <cell r="G443">
            <v>46753</v>
          </cell>
        </row>
        <row r="444">
          <cell r="B444" t="str">
            <v>Elfri Lotion</v>
          </cell>
          <cell r="G444">
            <v>46357</v>
          </cell>
        </row>
        <row r="445">
          <cell r="B445" t="str">
            <v>Hhfexo 180 Tabs</v>
          </cell>
          <cell r="G445">
            <v>46508</v>
          </cell>
        </row>
        <row r="446">
          <cell r="B446" t="str">
            <v>Benzonix -XL Gel Wash</v>
          </cell>
          <cell r="G446">
            <v>46569</v>
          </cell>
        </row>
        <row r="447">
          <cell r="B447" t="str">
            <v>Seb Baby Lotion With Pump</v>
          </cell>
          <cell r="G447">
            <v>46874</v>
          </cell>
        </row>
        <row r="448">
          <cell r="B448" t="str">
            <v>Inderal LA 40MG Tab</v>
          </cell>
          <cell r="G448">
            <v>46935</v>
          </cell>
        </row>
        <row r="449">
          <cell r="B449" t="str">
            <v>Onabest SD 30ML Lotion</v>
          </cell>
          <cell r="G449">
            <v>46600</v>
          </cell>
        </row>
        <row r="450">
          <cell r="B450" t="str">
            <v>Nohives Tab</v>
          </cell>
          <cell r="G450">
            <v>46327</v>
          </cell>
        </row>
        <row r="451">
          <cell r="B451" t="str">
            <v>Aquahance Mois Soap</v>
          </cell>
          <cell r="G451">
            <v>46631</v>
          </cell>
        </row>
        <row r="452">
          <cell r="B452" t="str">
            <v>Atogla Skin Lotion</v>
          </cell>
          <cell r="G452">
            <v>46478</v>
          </cell>
        </row>
        <row r="453">
          <cell r="B453" t="str">
            <v xml:space="preserve">Ultitar CS Lotion </v>
          </cell>
          <cell r="G453">
            <v>46905</v>
          </cell>
        </row>
        <row r="454">
          <cell r="B454" t="str">
            <v>Nicotex 2 Mint S/F</v>
          </cell>
          <cell r="G454">
            <v>47761</v>
          </cell>
        </row>
        <row r="455">
          <cell r="B455" t="str">
            <v>Nicotex 2 Mint S/F</v>
          </cell>
          <cell r="G455">
            <v>46539</v>
          </cell>
        </row>
        <row r="456">
          <cell r="B456" t="str">
            <v>Lopamide 10 Tabs</v>
          </cell>
          <cell r="G456">
            <v>46844</v>
          </cell>
        </row>
        <row r="457">
          <cell r="B457" t="str">
            <v>Glowzex Foaming Facewash</v>
          </cell>
          <cell r="G457">
            <v>46296</v>
          </cell>
        </row>
        <row r="458">
          <cell r="B458" t="str">
            <v xml:space="preserve">Lulizex Spray </v>
          </cell>
          <cell r="G458">
            <v>46023</v>
          </cell>
        </row>
        <row r="459">
          <cell r="B459" t="str">
            <v>Ketozex Cream</v>
          </cell>
          <cell r="G459">
            <v>46447</v>
          </cell>
        </row>
        <row r="460">
          <cell r="B460" t="str">
            <v>Eberzex Cream</v>
          </cell>
          <cell r="G460">
            <v>46296</v>
          </cell>
        </row>
        <row r="461">
          <cell r="B461" t="str">
            <v xml:space="preserve">Gentle Baby Soap </v>
          </cell>
          <cell r="G461">
            <v>46935</v>
          </cell>
        </row>
        <row r="462">
          <cell r="B462" t="str">
            <v>Warren Orthodontic</v>
          </cell>
          <cell r="G462">
            <v>46966</v>
          </cell>
        </row>
        <row r="463">
          <cell r="B463" t="str">
            <v>Becadexamin Caps</v>
          </cell>
          <cell r="G463">
            <v>46296</v>
          </cell>
        </row>
        <row r="464">
          <cell r="B464" t="str">
            <v>Mederma Advanced Plus</v>
          </cell>
          <cell r="G464">
            <v>46935</v>
          </cell>
        </row>
        <row r="465">
          <cell r="B465" t="str">
            <v>Medomol SP Tabs</v>
          </cell>
          <cell r="G465">
            <v>46419</v>
          </cell>
        </row>
        <row r="466">
          <cell r="B466" t="str">
            <v>BX Shampoo</v>
          </cell>
          <cell r="G466">
            <v>46539</v>
          </cell>
        </row>
        <row r="467">
          <cell r="B467" t="str">
            <v>Ziglim MV 2 Tabs</v>
          </cell>
          <cell r="G467">
            <v>46478</v>
          </cell>
        </row>
        <row r="468">
          <cell r="B468" t="str">
            <v>Neptaz 50MG Tab</v>
          </cell>
          <cell r="G468">
            <v>46905</v>
          </cell>
        </row>
        <row r="469">
          <cell r="B469" t="str">
            <v>Lubrex Eye Drops</v>
          </cell>
          <cell r="G469">
            <v>46692</v>
          </cell>
        </row>
        <row r="470">
          <cell r="B470" t="str">
            <v>Trfy Cream</v>
          </cell>
          <cell r="G470">
            <v>46539</v>
          </cell>
        </row>
        <row r="471">
          <cell r="B471" t="str">
            <v>Tribet 2 Tabs</v>
          </cell>
          <cell r="G471">
            <v>46539</v>
          </cell>
        </row>
        <row r="472">
          <cell r="B472" t="str">
            <v>Xerina Cream</v>
          </cell>
          <cell r="G472">
            <v>46388</v>
          </cell>
        </row>
        <row r="473">
          <cell r="B473" t="str">
            <v>Zole Skin Oint</v>
          </cell>
          <cell r="G473">
            <v>46874</v>
          </cell>
        </row>
        <row r="474">
          <cell r="B474" t="str">
            <v>Stamlo T Tabs</v>
          </cell>
          <cell r="G474">
            <v>46539</v>
          </cell>
        </row>
        <row r="475">
          <cell r="B475" t="str">
            <v>Mahacef 200</v>
          </cell>
          <cell r="G475">
            <v>46478</v>
          </cell>
        </row>
        <row r="476">
          <cell r="B476" t="str">
            <v>Aten 50MG Tab</v>
          </cell>
          <cell r="G476">
            <v>46874</v>
          </cell>
        </row>
        <row r="477">
          <cell r="B477" t="str">
            <v>Duphalac Syrup</v>
          </cell>
          <cell r="G477">
            <v>46569</v>
          </cell>
        </row>
        <row r="478">
          <cell r="B478" t="str">
            <v>Kofarest SYP</v>
          </cell>
          <cell r="G478">
            <v>46539</v>
          </cell>
        </row>
        <row r="479">
          <cell r="B479" t="str">
            <v>Thyronorm 100</v>
          </cell>
          <cell r="G479">
            <v>46569</v>
          </cell>
        </row>
        <row r="480">
          <cell r="B480" t="str">
            <v>P-250 Suspension</v>
          </cell>
          <cell r="G480">
            <v>46935</v>
          </cell>
        </row>
        <row r="481">
          <cell r="B481" t="str">
            <v>Telmikind AM Tab</v>
          </cell>
          <cell r="G481">
            <v>46508</v>
          </cell>
        </row>
        <row r="482">
          <cell r="B482" t="str">
            <v>Propysalic NF6 Ointment</v>
          </cell>
          <cell r="G482">
            <v>46539</v>
          </cell>
        </row>
        <row r="483">
          <cell r="B483" t="str">
            <v>Candiforce 200 Caps</v>
          </cell>
          <cell r="G483">
            <v>46508</v>
          </cell>
        </row>
        <row r="484">
          <cell r="B484" t="str">
            <v>Huminsulin 30/70</v>
          </cell>
          <cell r="G484">
            <v>46478</v>
          </cell>
        </row>
        <row r="485">
          <cell r="B485" t="str">
            <v>Anaboom Pro Serum</v>
          </cell>
          <cell r="G485">
            <v>46478</v>
          </cell>
        </row>
        <row r="486">
          <cell r="B486" t="str">
            <v>Cuticlair Anti Acne Soap</v>
          </cell>
          <cell r="G486">
            <v>46905</v>
          </cell>
        </row>
        <row r="487">
          <cell r="B487" t="str">
            <v>Practin 4MG Tab</v>
          </cell>
          <cell r="G487">
            <v>46874</v>
          </cell>
        </row>
        <row r="488">
          <cell r="B488" t="str">
            <v>Cosglo New Cream</v>
          </cell>
          <cell r="G488">
            <v>46569</v>
          </cell>
        </row>
        <row r="489">
          <cell r="B489" t="str">
            <v>AB Next Gel</v>
          </cell>
          <cell r="G489">
            <v>46419</v>
          </cell>
        </row>
        <row r="490">
          <cell r="B490" t="str">
            <v>Glyciphage G1</v>
          </cell>
          <cell r="G490">
            <v>46692</v>
          </cell>
        </row>
        <row r="491">
          <cell r="B491" t="str">
            <v>Zincovit Syrup</v>
          </cell>
          <cell r="G491">
            <v>46235</v>
          </cell>
        </row>
        <row r="492">
          <cell r="B492" t="str">
            <v>Alerid Syrup</v>
          </cell>
          <cell r="G492">
            <v>46874</v>
          </cell>
        </row>
        <row r="493">
          <cell r="B493" t="str">
            <v>Tarich Lotion</v>
          </cell>
          <cell r="G493">
            <v>46874</v>
          </cell>
        </row>
        <row r="494">
          <cell r="B494" t="str">
            <v>KLM D3 Nano Shots</v>
          </cell>
          <cell r="G494">
            <v>46388</v>
          </cell>
        </row>
        <row r="495">
          <cell r="B495" t="str">
            <v>Tressgain Serum</v>
          </cell>
          <cell r="G495">
            <v>46388</v>
          </cell>
        </row>
        <row r="496">
          <cell r="B496" t="str">
            <v>Tressgain Serum</v>
          </cell>
          <cell r="G496">
            <v>46478</v>
          </cell>
        </row>
        <row r="497">
          <cell r="B497" t="str">
            <v>Sporamiz SB 130 Caos</v>
          </cell>
          <cell r="G497">
            <v>46508</v>
          </cell>
        </row>
        <row r="498">
          <cell r="B498" t="str">
            <v xml:space="preserve">Minfin NX 5% </v>
          </cell>
          <cell r="G498">
            <v>46569</v>
          </cell>
        </row>
        <row r="499">
          <cell r="B499" t="str">
            <v>Flomist Nasal Spray</v>
          </cell>
          <cell r="G499">
            <v>46447</v>
          </cell>
        </row>
        <row r="500">
          <cell r="B500" t="str">
            <v>MX S Topical Solution</v>
          </cell>
          <cell r="G500">
            <v>46478</v>
          </cell>
        </row>
        <row r="501">
          <cell r="B501" t="str">
            <v>Dermadew Aloe Plus</v>
          </cell>
          <cell r="G501">
            <v>46478</v>
          </cell>
        </row>
        <row r="502">
          <cell r="B502" t="str">
            <v>Propysalic NF Ointment</v>
          </cell>
          <cell r="G502">
            <v>46539</v>
          </cell>
        </row>
        <row r="503">
          <cell r="B503" t="str">
            <v>GP 3MG Tab</v>
          </cell>
          <cell r="G503">
            <v>46569</v>
          </cell>
        </row>
        <row r="504">
          <cell r="B504" t="str">
            <v>Glucoryl MV2 Tab 15'S</v>
          </cell>
          <cell r="G504">
            <v>46569</v>
          </cell>
        </row>
        <row r="505">
          <cell r="B505" t="str">
            <v>Tazloc Beta 50MG Tab</v>
          </cell>
          <cell r="G505">
            <v>46539</v>
          </cell>
        </row>
        <row r="506">
          <cell r="B506" t="str">
            <v>T Bact Oint 15GM</v>
          </cell>
          <cell r="G506">
            <v>46266</v>
          </cell>
        </row>
        <row r="507">
          <cell r="B507" t="str">
            <v>Cobadex CZS Tab</v>
          </cell>
          <cell r="G507">
            <v>46419</v>
          </cell>
        </row>
        <row r="508">
          <cell r="B508" t="str">
            <v>Rantac 300MG Tab</v>
          </cell>
          <cell r="G508">
            <v>46388</v>
          </cell>
        </row>
        <row r="509">
          <cell r="B509" t="str">
            <v xml:space="preserve">Regabipo Spray </v>
          </cell>
          <cell r="G509">
            <v>46631</v>
          </cell>
        </row>
        <row r="510">
          <cell r="B510" t="str">
            <v>Ifin 250MG Tab</v>
          </cell>
          <cell r="G510">
            <v>46844</v>
          </cell>
        </row>
        <row r="511">
          <cell r="B511" t="str">
            <v>Cuticlair ADV Foam Face Wash</v>
          </cell>
          <cell r="G511">
            <v>46569</v>
          </cell>
        </row>
        <row r="512">
          <cell r="B512" t="str">
            <v>Cardace 2.5MG Tab</v>
          </cell>
          <cell r="G512">
            <v>46661</v>
          </cell>
        </row>
        <row r="513">
          <cell r="B513" t="str">
            <v>Daparyl V 10/100 Tab</v>
          </cell>
          <cell r="G513">
            <v>46478</v>
          </cell>
        </row>
        <row r="514">
          <cell r="B514" t="str">
            <v>Eberfine XL Cream</v>
          </cell>
          <cell r="G514">
            <v>46478</v>
          </cell>
        </row>
        <row r="515">
          <cell r="B515" t="str">
            <v>Gabapin ME 100MG Tab</v>
          </cell>
          <cell r="G515">
            <v>46539</v>
          </cell>
        </row>
        <row r="516">
          <cell r="B516" t="str">
            <v>Hhomega + Cap</v>
          </cell>
          <cell r="G516">
            <v>46508</v>
          </cell>
        </row>
        <row r="517">
          <cell r="B517" t="str">
            <v>Hhsalic 6 Oint</v>
          </cell>
          <cell r="G517">
            <v>46478</v>
          </cell>
        </row>
        <row r="518">
          <cell r="B518" t="str">
            <v>Hhlevo 5MG Tab</v>
          </cell>
          <cell r="G518">
            <v>46508</v>
          </cell>
        </row>
        <row r="519">
          <cell r="B519" t="str">
            <v>LZHH Cream</v>
          </cell>
          <cell r="G519">
            <v>46539</v>
          </cell>
        </row>
        <row r="520">
          <cell r="B520" t="str">
            <v>Mintop Eva Solution</v>
          </cell>
          <cell r="G520">
            <v>46419</v>
          </cell>
        </row>
        <row r="521">
          <cell r="B521" t="str">
            <v>VildaPride DM 1000MG Tab</v>
          </cell>
          <cell r="G521">
            <v>46419</v>
          </cell>
        </row>
        <row r="522">
          <cell r="B522" t="str">
            <v>KZ Plus Medicated Soap</v>
          </cell>
          <cell r="G522">
            <v>46905</v>
          </cell>
        </row>
        <row r="523">
          <cell r="B523" t="str">
            <v>Cutihance Women Tab</v>
          </cell>
          <cell r="G523">
            <v>46539</v>
          </cell>
        </row>
        <row r="524">
          <cell r="B524" t="str">
            <v>Lecmon-AX Tab</v>
          </cell>
          <cell r="G524">
            <v>46508</v>
          </cell>
        </row>
        <row r="525">
          <cell r="B525" t="str">
            <v>Brufen 600 Tab</v>
          </cell>
          <cell r="G525">
            <v>46874</v>
          </cell>
        </row>
        <row r="526">
          <cell r="B526" t="str">
            <v>Ezhh Cream</v>
          </cell>
          <cell r="G526">
            <v>46478</v>
          </cell>
        </row>
        <row r="527">
          <cell r="B527" t="str">
            <v>Tarich Lotion</v>
          </cell>
          <cell r="G527">
            <v>46905</v>
          </cell>
        </row>
        <row r="528">
          <cell r="B528" t="str">
            <v>Tressgain Serum 50GM</v>
          </cell>
          <cell r="G528">
            <v>46296</v>
          </cell>
        </row>
        <row r="529">
          <cell r="B529" t="str">
            <v>Tressgain Serum 50GM</v>
          </cell>
          <cell r="G529">
            <v>46388</v>
          </cell>
        </row>
        <row r="530">
          <cell r="B530" t="str">
            <v>Trichogrow Shampoo 150ML</v>
          </cell>
          <cell r="G530">
            <v>46388</v>
          </cell>
        </row>
        <row r="531">
          <cell r="B531" t="str">
            <v>Trichogrow Shampoo 150ML</v>
          </cell>
          <cell r="G531">
            <v>46447</v>
          </cell>
        </row>
        <row r="532">
          <cell r="B532" t="str">
            <v xml:space="preserve">Gentle Baby Wipes </v>
          </cell>
          <cell r="G532">
            <v>46600</v>
          </cell>
        </row>
        <row r="533">
          <cell r="B533" t="str">
            <v>Seb Anti Dandruff Shampoo</v>
          </cell>
          <cell r="G533">
            <v>46905</v>
          </cell>
        </row>
        <row r="534">
          <cell r="B534" t="str">
            <v>Candid Gold Powder 100GM</v>
          </cell>
          <cell r="G534">
            <v>46357</v>
          </cell>
        </row>
        <row r="535">
          <cell r="B535" t="str">
            <v>Turby D SYP</v>
          </cell>
          <cell r="G535">
            <v>46447</v>
          </cell>
        </row>
        <row r="536">
          <cell r="B536" t="str">
            <v>Sporamiz 200MG Caps</v>
          </cell>
          <cell r="G536">
            <v>46296</v>
          </cell>
        </row>
        <row r="537">
          <cell r="B537" t="str">
            <v xml:space="preserve">LA Shield IR Gel </v>
          </cell>
          <cell r="G537">
            <v>46447</v>
          </cell>
        </row>
        <row r="538">
          <cell r="B538" t="str">
            <v>Melgain 2ML</v>
          </cell>
          <cell r="G538">
            <v>46478</v>
          </cell>
        </row>
        <row r="539">
          <cell r="B539" t="str">
            <v>Sitaday DM Tab</v>
          </cell>
          <cell r="G539">
            <v>46508</v>
          </cell>
        </row>
        <row r="540">
          <cell r="B540" t="str">
            <v>Foracort 200 R/C 60'S</v>
          </cell>
          <cell r="G540">
            <v>46357</v>
          </cell>
        </row>
        <row r="541">
          <cell r="B541" t="str">
            <v>Oaknets Photo First Cream</v>
          </cell>
          <cell r="G541">
            <v>46539</v>
          </cell>
        </row>
        <row r="542">
          <cell r="B542" t="str">
            <v xml:space="preserve">Clohex ADS Liquid </v>
          </cell>
          <cell r="G542">
            <v>46569</v>
          </cell>
        </row>
        <row r="543">
          <cell r="B543" t="str">
            <v>Myoril 4MG Caps</v>
          </cell>
          <cell r="G543">
            <v>46478</v>
          </cell>
        </row>
        <row r="544">
          <cell r="B544" t="str">
            <v xml:space="preserve">Ivrea Shampoo </v>
          </cell>
          <cell r="G544">
            <v>46478</v>
          </cell>
        </row>
        <row r="545">
          <cell r="B545" t="str">
            <v>Nervijen Plus Injection</v>
          </cell>
          <cell r="G545">
            <v>46174</v>
          </cell>
        </row>
        <row r="546">
          <cell r="B546" t="str">
            <v xml:space="preserve">Tiger Balm Red </v>
          </cell>
          <cell r="G546">
            <v>47270</v>
          </cell>
        </row>
        <row r="547">
          <cell r="B547" t="str">
            <v>Seb Anti Hairloss Shampoo</v>
          </cell>
          <cell r="G547">
            <v>46874</v>
          </cell>
        </row>
        <row r="548">
          <cell r="B548" t="str">
            <v>Erytop Gel</v>
          </cell>
          <cell r="G548">
            <v>46569</v>
          </cell>
        </row>
        <row r="549">
          <cell r="B549" t="str">
            <v>Sinarest New Tab</v>
          </cell>
          <cell r="G549">
            <v>46905</v>
          </cell>
        </row>
        <row r="550">
          <cell r="B550" t="str">
            <v>Clindac A Gel</v>
          </cell>
          <cell r="G550">
            <v>46539</v>
          </cell>
        </row>
        <row r="551">
          <cell r="B551" t="str">
            <v>Renerve Plus Caps</v>
          </cell>
          <cell r="G551">
            <v>46569</v>
          </cell>
        </row>
        <row r="552">
          <cell r="B552" t="str">
            <v>Tedibar 75GM 2'S</v>
          </cell>
          <cell r="G552">
            <v>46508</v>
          </cell>
        </row>
        <row r="553">
          <cell r="B553" t="str">
            <v>D Veniz 50MG Tab</v>
          </cell>
          <cell r="G553">
            <v>46419</v>
          </cell>
        </row>
        <row r="554">
          <cell r="B554" t="str">
            <v xml:space="preserve">Senquel AD M/Wash </v>
          </cell>
          <cell r="G554">
            <v>46539</v>
          </cell>
        </row>
        <row r="555">
          <cell r="B555" t="str">
            <v>Macbery Susp</v>
          </cell>
          <cell r="G555">
            <v>46508</v>
          </cell>
        </row>
        <row r="556">
          <cell r="B556" t="str">
            <v>Propysalic Plus 3% Lotion</v>
          </cell>
          <cell r="G556">
            <v>46539</v>
          </cell>
        </row>
        <row r="557">
          <cell r="B557" t="str">
            <v>Clop S 3.5 Lotion</v>
          </cell>
          <cell r="G557">
            <v>46204</v>
          </cell>
        </row>
        <row r="558">
          <cell r="B558" t="str">
            <v>Propysalic Plus 6% Lotion</v>
          </cell>
          <cell r="G558">
            <v>46539</v>
          </cell>
        </row>
        <row r="559">
          <cell r="B559" t="str">
            <v>Tenovate M Cream</v>
          </cell>
          <cell r="G559">
            <v>46357</v>
          </cell>
        </row>
        <row r="560">
          <cell r="B560" t="str">
            <v>Sinarest AF Drops</v>
          </cell>
          <cell r="G560">
            <v>46966</v>
          </cell>
        </row>
        <row r="561">
          <cell r="B561" t="str">
            <v>Zedex Cough Syrup</v>
          </cell>
          <cell r="G561">
            <v>46569</v>
          </cell>
        </row>
        <row r="562">
          <cell r="B562" t="str">
            <v>Duphalac Syrup</v>
          </cell>
          <cell r="G562">
            <v>46569</v>
          </cell>
        </row>
        <row r="563">
          <cell r="B563" t="str">
            <v>Dexona Tab</v>
          </cell>
          <cell r="G563">
            <v>46905</v>
          </cell>
        </row>
        <row r="564">
          <cell r="B564" t="str">
            <v>Eumosone M Cream</v>
          </cell>
          <cell r="G564">
            <v>46357</v>
          </cell>
        </row>
        <row r="565">
          <cell r="B565" t="str">
            <v xml:space="preserve">Betadine G 2% </v>
          </cell>
          <cell r="G565">
            <v>46447</v>
          </cell>
        </row>
        <row r="566">
          <cell r="B566" t="str">
            <v>Cosmelite Next Cream</v>
          </cell>
          <cell r="G566">
            <v>46539</v>
          </cell>
        </row>
        <row r="567">
          <cell r="B567" t="str">
            <v>Disokem Lotion</v>
          </cell>
          <cell r="G567">
            <v>46419</v>
          </cell>
        </row>
        <row r="568">
          <cell r="B568" t="str">
            <v>Fairvit Soap</v>
          </cell>
          <cell r="G568">
            <v>46905</v>
          </cell>
        </row>
        <row r="569">
          <cell r="B569" t="str">
            <v>Minoking-50 DT</v>
          </cell>
          <cell r="G569">
            <v>46327</v>
          </cell>
        </row>
        <row r="570">
          <cell r="B570" t="str">
            <v>Eberfine XL Cream</v>
          </cell>
          <cell r="G570">
            <v>46478</v>
          </cell>
        </row>
        <row r="571">
          <cell r="B571" t="str">
            <v xml:space="preserve">Mildy Shampoo </v>
          </cell>
          <cell r="G571">
            <v>46600</v>
          </cell>
        </row>
        <row r="572">
          <cell r="B572" t="str">
            <v>Ecosprin AV 75/40 Cap</v>
          </cell>
          <cell r="G572">
            <v>46327</v>
          </cell>
        </row>
        <row r="573">
          <cell r="B573" t="str">
            <v xml:space="preserve">Picon cream </v>
          </cell>
          <cell r="G573">
            <v>46539</v>
          </cell>
        </row>
        <row r="574">
          <cell r="B574" t="str">
            <v>Tenovate M Cream</v>
          </cell>
          <cell r="G574">
            <v>46508</v>
          </cell>
        </row>
        <row r="575">
          <cell r="B575" t="str">
            <v>Lorfast Meltab</v>
          </cell>
          <cell r="G575">
            <v>46569</v>
          </cell>
        </row>
        <row r="576">
          <cell r="B576" t="str">
            <v>Thyronorm 75MCG 120'S Tab</v>
          </cell>
          <cell r="G576">
            <v>46569</v>
          </cell>
        </row>
        <row r="577">
          <cell r="B577" t="str">
            <v>Kera XL Hair Growth Serum</v>
          </cell>
          <cell r="G577">
            <v>46478</v>
          </cell>
        </row>
        <row r="578">
          <cell r="B578" t="str">
            <v>Kerabounce Shampoo</v>
          </cell>
          <cell r="G578">
            <v>46600</v>
          </cell>
        </row>
        <row r="579">
          <cell r="B579" t="str">
            <v>Torplat 60MG Tab</v>
          </cell>
          <cell r="G579">
            <v>46508</v>
          </cell>
        </row>
        <row r="580">
          <cell r="B580" t="str">
            <v xml:space="preserve">Aziderm Plus </v>
          </cell>
          <cell r="G580">
            <v>46447</v>
          </cell>
        </row>
        <row r="581">
          <cell r="B581" t="str">
            <v>Megalis D Tab</v>
          </cell>
          <cell r="G581">
            <v>46539</v>
          </cell>
        </row>
        <row r="582">
          <cell r="B582" t="str">
            <v>Oxra S Tab</v>
          </cell>
          <cell r="G582">
            <v>46478</v>
          </cell>
        </row>
        <row r="583">
          <cell r="B583" t="str">
            <v>Nebicard T Tab</v>
          </cell>
          <cell r="G583">
            <v>46539</v>
          </cell>
        </row>
      </sheetData>
      <sheetData sheetId="1"/>
      <sheetData sheetId="2"/>
      <sheetData sheetId="3"/>
      <sheetData sheetId="4"/>
      <sheetData sheetId="5">
        <row r="25">
          <cell r="G25" t="str">
            <v>Row Labels</v>
          </cell>
          <cell r="L25" t="str">
            <v xml:space="preserve">FSN </v>
          </cell>
        </row>
        <row r="26">
          <cell r="G26" t="str">
            <v>Anti-microbial</v>
          </cell>
          <cell r="L26" t="str">
            <v>F</v>
          </cell>
        </row>
        <row r="27">
          <cell r="G27" t="str">
            <v>Skincare</v>
          </cell>
          <cell r="L27" t="str">
            <v>F</v>
          </cell>
        </row>
        <row r="28">
          <cell r="G28" t="str">
            <v>Pain Relief</v>
          </cell>
          <cell r="L28" t="str">
            <v>F</v>
          </cell>
        </row>
        <row r="29">
          <cell r="G29" t="str">
            <v>Vitamins/Minerals</v>
          </cell>
          <cell r="L29" t="str">
            <v>F</v>
          </cell>
        </row>
        <row r="30">
          <cell r="G30" t="str">
            <v>Cardiovascular</v>
          </cell>
          <cell r="L30" t="str">
            <v>F</v>
          </cell>
        </row>
        <row r="31">
          <cell r="G31" t="str">
            <v>Body Care</v>
          </cell>
          <cell r="L31" t="str">
            <v>S</v>
          </cell>
        </row>
        <row r="32">
          <cell r="G32" t="str">
            <v>Gastro Tabs</v>
          </cell>
          <cell r="L32" t="str">
            <v>S</v>
          </cell>
        </row>
        <row r="33">
          <cell r="G33" t="str">
            <v>Respiratory</v>
          </cell>
          <cell r="L33" t="str">
            <v>S</v>
          </cell>
        </row>
        <row r="34">
          <cell r="G34" t="str">
            <v>Diabetes</v>
          </cell>
          <cell r="L34" t="str">
            <v>S</v>
          </cell>
        </row>
        <row r="35">
          <cell r="G35" t="str">
            <v>Cold/Cough</v>
          </cell>
          <cell r="L35" t="str">
            <v>N</v>
          </cell>
        </row>
        <row r="36">
          <cell r="G36" t="str">
            <v>First Aid</v>
          </cell>
          <cell r="L36" t="str">
            <v>N</v>
          </cell>
        </row>
        <row r="37">
          <cell r="G37" t="str">
            <v>Sunscreen</v>
          </cell>
          <cell r="L37" t="str">
            <v>N</v>
          </cell>
        </row>
        <row r="38">
          <cell r="G38" t="str">
            <v>Immunosuppressant</v>
          </cell>
          <cell r="L38" t="str">
            <v>N</v>
          </cell>
        </row>
        <row r="39">
          <cell r="G39" t="str">
            <v>Baby Care</v>
          </cell>
          <cell r="L39" t="str">
            <v>N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4CD90F-1F3E-40BD-85AF-5C849B84BC4E}" name="Table4" displayName="Table4" ref="A2:K218" headerRowDxfId="52" dataDxfId="50" totalsRowDxfId="49" headerRowBorderDxfId="51">
  <autoFilter ref="A2:K218" xr:uid="{640EB427-D5B1-492E-A632-A269B409CC8B}"/>
  <tableColumns count="11">
    <tableColumn id="1" xr3:uid="{DF426EA1-508C-4F4E-8172-09504CA70B05}" name="Item ID" totalsRowLabel="Total" dataDxfId="48" totalsRowDxfId="47"/>
    <tableColumn id="2" xr3:uid="{841C9611-9C40-441D-8314-707AB3996532}" name="Item Name" dataDxfId="46" totalsRowDxfId="45"/>
    <tableColumn id="3" xr3:uid="{3758317F-6FE7-418E-8992-1B371C2892DA}" name="Category" dataDxfId="44" totalsRowDxfId="43"/>
    <tableColumn id="13" xr3:uid="{1619A4E5-B55A-49DF-A6CB-BB8DDE6187FD}" name="Quantity" dataDxfId="42" totalsRowDxfId="41">
      <calculatedColumnFormula array="1">RANDBETWEEN(20, 100)-(_xlfn.XLOOKUP(Table4[[#This Row],[Item ID]],#REF!,#REF!,0))</calculatedColumnFormula>
    </tableColumn>
    <tableColumn id="4" xr3:uid="{53FC863A-97FE-4375-9293-F939099C12BE}" name="Supplier" dataDxfId="40" totalsRowDxfId="39"/>
    <tableColumn id="5" xr3:uid="{3FFB9429-9480-4383-BC10-DA87E04D9418}" name="Cost Price" dataDxfId="38" totalsRowDxfId="37"/>
    <tableColumn id="6" xr3:uid="{8B8065F0-7885-46D4-834D-752B6E45D194}" name="Selling Price" dataDxfId="36" totalsRowDxfId="35"/>
    <tableColumn id="7" xr3:uid="{6D0C6741-6E85-4A2B-A984-A34372832CF8}" name="Expiry Date" dataDxfId="34" totalsRowDxfId="33">
      <calculatedColumnFormula>_xlfn.XLOOKUP(B3,'[1]Raw Data Sales'!$B:$B,'[1]Raw Data Sales'!$G:$G,0)</calculatedColumnFormula>
    </tableColumn>
    <tableColumn id="8" xr3:uid="{E179C456-38F7-488E-A746-ECC486CE674F}" name="Number of Days to expire" dataDxfId="32" totalsRowDxfId="31">
      <calculatedColumnFormula>H3-TODAY()</calculatedColumnFormula>
    </tableColumn>
    <tableColumn id="9" xr3:uid="{8970AC9E-DE4D-4559-8B06-EF53186D58E8}" name="ABC_Class" dataDxfId="30" totalsRowDxfId="29">
      <calculatedColumnFormula>_xlfn.XLOOKUP('Item Inventory'!C3,Table1[Category],Table1[ABC_Class],0)</calculatedColumnFormula>
    </tableColumn>
    <tableColumn id="10" xr3:uid="{B5CC4BB2-B2B5-4A8B-9AA1-A65AE7B29046}" name="FSN_Class" totalsRowFunction="count" dataDxfId="28" totalsRowDxfId="27">
      <calculatedColumnFormula>_xlfn.XLOOKUP(C3,Table1[Category],Table1[FSN_Class],0)</calculatedColumnFormula>
    </tableColumn>
  </tableColumns>
  <tableStyleInfo name="TableStyleLight1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DAE12-5EBC-4098-8936-08F9BDE3A4EE}" name="Table1" displayName="Table1" ref="A1:F15" headerRowDxfId="26" dataDxfId="25">
  <autoFilter ref="A1:F15" xr:uid="{113DAE12-5EBC-4098-8936-08F9BDE3A4EE}"/>
  <tableColumns count="6">
    <tableColumn id="1" xr3:uid="{1B3F54C7-3FFA-4179-A4A9-54D83E7312F9}" name="Category" totalsRowLabel="Total" dataDxfId="24" totalsRowDxfId="23"/>
    <tableColumn id="3" xr3:uid="{7B1C0CA3-89E1-4298-ABDE-728C63118989}" name="ABC_Class" dataDxfId="22" totalsRowDxfId="21"/>
    <tableColumn id="4" xr3:uid="{00BBA26F-7E75-4D33-B09C-805CDB59A17E}" name="FSN_Class" dataDxfId="20" totalsRowDxfId="19">
      <calculatedColumnFormula>_xlfn.XLOOKUP(A2,'[1]Analysis I'!$G$25:$G$39,'[1]Analysis I'!$L$25:$L$39,0)</calculatedColumnFormula>
    </tableColumn>
    <tableColumn id="5" xr3:uid="{A7B816E7-85F9-4E0F-9557-AD921A78567D}" name="Expiry Risk" dataDxfId="18" totalsRowDxfId="17"/>
    <tableColumn id="8" xr3:uid="{FCE9AB6B-9B64-4455-944B-8DA156C7A448}" name="Stock Policy" dataDxfId="16" totalsRowDxfId="15"/>
    <tableColumn id="9" xr3:uid="{70341FD9-AB9E-4D5A-8320-3AD17414C0CD}" name="Action Recommended" totalsRowFunction="count" dataDxfId="14" totalsRowDxfId="1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427-D5B1-492E-A632-A269B409CC8B}">
  <dimension ref="A1:K218"/>
  <sheetViews>
    <sheetView showGridLines="0" showRowColHeaders="0" tabSelected="1" zoomScale="38" zoomScaleNormal="50" workbookViewId="0">
      <selection activeCell="I5" sqref="I5"/>
    </sheetView>
  </sheetViews>
  <sheetFormatPr defaultRowHeight="14.5" x14ac:dyDescent="0.35"/>
  <cols>
    <col min="1" max="1" width="25.81640625" style="1" customWidth="1"/>
    <col min="2" max="2" width="60.26953125" style="1" customWidth="1"/>
    <col min="3" max="3" width="42.6328125" style="1" customWidth="1"/>
    <col min="4" max="4" width="33.26953125" style="1" customWidth="1"/>
    <col min="5" max="5" width="31.1796875" style="1" customWidth="1"/>
    <col min="6" max="6" width="26.81640625" style="2" customWidth="1"/>
    <col min="7" max="7" width="29.90625" style="2" customWidth="1"/>
    <col min="8" max="8" width="37.453125" style="3" customWidth="1"/>
    <col min="9" max="9" width="55.90625" style="4" customWidth="1"/>
    <col min="10" max="10" width="29.6328125" style="2" customWidth="1"/>
    <col min="11" max="11" width="28.81640625" style="2" customWidth="1"/>
    <col min="12" max="12" width="8.7265625" customWidth="1"/>
  </cols>
  <sheetData>
    <row r="1" spans="1:11" ht="55.5" customHeight="1" x14ac:dyDescent="0.35">
      <c r="A1" s="21" t="s">
        <v>476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5" customFormat="1" ht="37.5" customHeight="1" x14ac:dyDescent="0.45">
      <c r="A2" s="6" t="s">
        <v>0</v>
      </c>
      <c r="B2" s="6" t="s">
        <v>1</v>
      </c>
      <c r="C2" s="6" t="s">
        <v>2</v>
      </c>
      <c r="D2" s="6" t="s">
        <v>462</v>
      </c>
      <c r="E2" s="6" t="s">
        <v>3</v>
      </c>
      <c r="F2" s="6" t="s">
        <v>5</v>
      </c>
      <c r="G2" s="6" t="s">
        <v>4</v>
      </c>
      <c r="H2" s="7" t="s">
        <v>463</v>
      </c>
      <c r="I2" s="8" t="s">
        <v>475</v>
      </c>
      <c r="J2" s="6" t="s">
        <v>6</v>
      </c>
      <c r="K2" s="6" t="s">
        <v>7</v>
      </c>
    </row>
    <row r="3" spans="1:11" ht="25.5" x14ac:dyDescent="0.55000000000000004">
      <c r="A3" s="9" t="s">
        <v>199</v>
      </c>
      <c r="B3" s="9" t="s">
        <v>152</v>
      </c>
      <c r="C3" s="9" t="s">
        <v>43</v>
      </c>
      <c r="D3" s="10">
        <v>66</v>
      </c>
      <c r="E3" s="9" t="s">
        <v>192</v>
      </c>
      <c r="F3" s="11">
        <v>373.21818181818179</v>
      </c>
      <c r="G3" s="11">
        <v>410.54</v>
      </c>
      <c r="H3" s="12">
        <f>_xlfn.XLOOKUP(B3,'[1]Raw Data Sales'!$B:$B,'[1]Raw Data Sales'!$G:$G,0)</f>
        <v>46388</v>
      </c>
      <c r="I3" s="13">
        <f ca="1">H3-TODAY()</f>
        <v>319</v>
      </c>
      <c r="J3" s="9" t="str">
        <f>_xlfn.XLOOKUP('Item Inventory'!C3,Table1[Category],Table1[ABC_Class],0)</f>
        <v>A</v>
      </c>
      <c r="K3" s="9" t="str">
        <f>_xlfn.XLOOKUP(C3,Table1[Category],Table1[FSN_Class],0)</f>
        <v>F</v>
      </c>
    </row>
    <row r="4" spans="1:11" ht="25.5" x14ac:dyDescent="0.55000000000000004">
      <c r="A4" s="9" t="s">
        <v>200</v>
      </c>
      <c r="B4" s="9" t="s">
        <v>153</v>
      </c>
      <c r="C4" s="9" t="s">
        <v>26</v>
      </c>
      <c r="D4" s="10">
        <v>95</v>
      </c>
      <c r="E4" s="9" t="s">
        <v>192</v>
      </c>
      <c r="F4" s="11">
        <v>332.22727272727269</v>
      </c>
      <c r="G4" s="11">
        <v>365.45</v>
      </c>
      <c r="H4" s="12">
        <f>_xlfn.XLOOKUP(B4,'[1]Raw Data Sales'!$B:$B,'[1]Raw Data Sales'!$G:$G,0)</f>
        <v>46419</v>
      </c>
      <c r="I4" s="13">
        <f t="shared" ref="I4:I67" ca="1" si="0">H4-TODAY()</f>
        <v>350</v>
      </c>
      <c r="J4" s="9" t="str">
        <f>_xlfn.XLOOKUP('Item Inventory'!C4,Table1[Category],Table1[ABC_Class],0)</f>
        <v>A</v>
      </c>
      <c r="K4" s="9" t="str">
        <f>_xlfn.XLOOKUP(C4,Table1[Category],Table1[FSN_Class],0)</f>
        <v>F</v>
      </c>
    </row>
    <row r="5" spans="1:11" ht="25.5" x14ac:dyDescent="0.55000000000000004">
      <c r="A5" s="9" t="s">
        <v>201</v>
      </c>
      <c r="B5" s="9" t="s">
        <v>154</v>
      </c>
      <c r="C5" s="9" t="s">
        <v>39</v>
      </c>
      <c r="D5" s="10">
        <v>37</v>
      </c>
      <c r="E5" s="9" t="s">
        <v>192</v>
      </c>
      <c r="F5" s="11">
        <v>807.16363636363633</v>
      </c>
      <c r="G5" s="11">
        <v>887.88</v>
      </c>
      <c r="H5" s="14">
        <v>46113</v>
      </c>
      <c r="I5" s="13">
        <f t="shared" ca="1" si="0"/>
        <v>44</v>
      </c>
      <c r="J5" s="9" t="str">
        <f>_xlfn.XLOOKUP('Item Inventory'!C5,Table1[Category],Table1[ABC_Class],0)</f>
        <v>C</v>
      </c>
      <c r="K5" s="9" t="str">
        <f>_xlfn.XLOOKUP(C5,Table1[Category],Table1[FSN_Class],0)</f>
        <v>S</v>
      </c>
    </row>
    <row r="6" spans="1:11" ht="25.5" x14ac:dyDescent="0.55000000000000004">
      <c r="A6" s="9" t="s">
        <v>202</v>
      </c>
      <c r="B6" s="9" t="s">
        <v>155</v>
      </c>
      <c r="C6" s="9" t="s">
        <v>13</v>
      </c>
      <c r="D6" s="10">
        <v>100</v>
      </c>
      <c r="E6" s="9" t="s">
        <v>192</v>
      </c>
      <c r="F6" s="11">
        <v>600.92727272727268</v>
      </c>
      <c r="G6" s="11">
        <v>661.02</v>
      </c>
      <c r="H6" s="12">
        <f>_xlfn.XLOOKUP(B6,'[1]Raw Data Sales'!$B:$B,'[1]Raw Data Sales'!$G:$G,0)</f>
        <v>46388</v>
      </c>
      <c r="I6" s="13">
        <f t="shared" ca="1" si="0"/>
        <v>319</v>
      </c>
      <c r="J6" s="9" t="str">
        <f>_xlfn.XLOOKUP('Item Inventory'!C6,Table1[Category],Table1[ABC_Class],0)</f>
        <v>B</v>
      </c>
      <c r="K6" s="9" t="str">
        <f>_xlfn.XLOOKUP(C6,Table1[Category],Table1[FSN_Class],0)</f>
        <v>N</v>
      </c>
    </row>
    <row r="7" spans="1:11" ht="25.5" x14ac:dyDescent="0.55000000000000004">
      <c r="A7" s="9" t="s">
        <v>203</v>
      </c>
      <c r="B7" s="9" t="s">
        <v>50</v>
      </c>
      <c r="C7" s="9" t="s">
        <v>14</v>
      </c>
      <c r="D7" s="10">
        <v>66</v>
      </c>
      <c r="E7" s="9" t="s">
        <v>66</v>
      </c>
      <c r="F7" s="11">
        <v>155.87272727272727</v>
      </c>
      <c r="G7" s="11">
        <v>171.46</v>
      </c>
      <c r="H7" s="12">
        <f>_xlfn.XLOOKUP(B7,'[1]Raw Data Sales'!$B:$B,'[1]Raw Data Sales'!$G:$G,0)</f>
        <v>46905</v>
      </c>
      <c r="I7" s="13">
        <f t="shared" ca="1" si="0"/>
        <v>836</v>
      </c>
      <c r="J7" s="9" t="str">
        <f>_xlfn.XLOOKUP('Item Inventory'!C7,Table1[Category],Table1[ABC_Class],0)</f>
        <v>A</v>
      </c>
      <c r="K7" s="9" t="str">
        <f>_xlfn.XLOOKUP(C7,Table1[Category],Table1[FSN_Class],0)</f>
        <v>F</v>
      </c>
    </row>
    <row r="8" spans="1:11" ht="25.5" x14ac:dyDescent="0.55000000000000004">
      <c r="A8" s="9" t="s">
        <v>458</v>
      </c>
      <c r="B8" s="9" t="s">
        <v>372</v>
      </c>
      <c r="C8" s="9" t="s">
        <v>415</v>
      </c>
      <c r="D8" s="10">
        <v>87</v>
      </c>
      <c r="E8" s="9" t="s">
        <v>416</v>
      </c>
      <c r="F8" s="15" t="s">
        <v>416</v>
      </c>
      <c r="G8" s="11">
        <v>299</v>
      </c>
      <c r="H8" s="14">
        <v>45901</v>
      </c>
      <c r="I8" s="13">
        <f t="shared" ca="1" si="0"/>
        <v>-168</v>
      </c>
      <c r="J8" s="9" t="s">
        <v>469</v>
      </c>
      <c r="K8" s="9" t="s">
        <v>474</v>
      </c>
    </row>
    <row r="9" spans="1:11" ht="25.5" x14ac:dyDescent="0.55000000000000004">
      <c r="A9" s="9" t="s">
        <v>205</v>
      </c>
      <c r="B9" s="9" t="s">
        <v>156</v>
      </c>
      <c r="C9" s="9" t="s">
        <v>12</v>
      </c>
      <c r="D9" s="10">
        <v>33</v>
      </c>
      <c r="E9" s="9" t="s">
        <v>192</v>
      </c>
      <c r="F9" s="11">
        <v>29.227272727272702</v>
      </c>
      <c r="G9" s="11">
        <v>32.15</v>
      </c>
      <c r="H9" s="12">
        <f>_xlfn.XLOOKUP(B9,'[1]Raw Data Sales'!$B:$B,'[1]Raw Data Sales'!$G:$G,0)</f>
        <v>46874</v>
      </c>
      <c r="I9" s="13">
        <f t="shared" ca="1" si="0"/>
        <v>805</v>
      </c>
      <c r="J9" s="9" t="str">
        <f>_xlfn.XLOOKUP('Item Inventory'!C9,Table1[Category],Table1[ABC_Class],0)</f>
        <v>A</v>
      </c>
      <c r="K9" s="9" t="str">
        <f>_xlfn.XLOOKUP(C9,Table1[Category],Table1[FSN_Class],0)</f>
        <v>F</v>
      </c>
    </row>
    <row r="10" spans="1:11" ht="25.5" x14ac:dyDescent="0.55000000000000004">
      <c r="A10" s="9" t="s">
        <v>206</v>
      </c>
      <c r="B10" s="9" t="s">
        <v>157</v>
      </c>
      <c r="C10" s="9" t="s">
        <v>12</v>
      </c>
      <c r="D10" s="10">
        <v>88</v>
      </c>
      <c r="E10" s="9" t="s">
        <v>192</v>
      </c>
      <c r="F10" s="11">
        <v>196.5</v>
      </c>
      <c r="G10" s="11">
        <v>216.15</v>
      </c>
      <c r="H10" s="12">
        <f>_xlfn.XLOOKUP(B10,'[1]Raw Data Sales'!$B:$B,'[1]Raw Data Sales'!$G:$G,0)</f>
        <v>46508</v>
      </c>
      <c r="I10" s="13">
        <f t="shared" ca="1" si="0"/>
        <v>439</v>
      </c>
      <c r="J10" s="9" t="str">
        <f>_xlfn.XLOOKUP('Item Inventory'!C10,Table1[Category],Table1[ABC_Class],0)</f>
        <v>A</v>
      </c>
      <c r="K10" s="9" t="str">
        <f>_xlfn.XLOOKUP(C10,Table1[Category],Table1[FSN_Class],0)</f>
        <v>F</v>
      </c>
    </row>
    <row r="11" spans="1:11" ht="25.5" x14ac:dyDescent="0.55000000000000004">
      <c r="A11" s="9" t="s">
        <v>439</v>
      </c>
      <c r="B11" s="9" t="s">
        <v>375</v>
      </c>
      <c r="C11" s="9" t="s">
        <v>12</v>
      </c>
      <c r="D11" s="10">
        <v>50</v>
      </c>
      <c r="E11" s="9" t="s">
        <v>416</v>
      </c>
      <c r="F11" s="15" t="s">
        <v>416</v>
      </c>
      <c r="G11" s="11">
        <v>184.47</v>
      </c>
      <c r="H11" s="14">
        <v>45839</v>
      </c>
      <c r="I11" s="13">
        <f t="shared" ca="1" si="0"/>
        <v>-230</v>
      </c>
      <c r="J11" s="9" t="str">
        <f>_xlfn.XLOOKUP('Item Inventory'!C196,Table1[Category],Table1[ABC_Class],0)</f>
        <v>A</v>
      </c>
      <c r="K11" s="9" t="str">
        <f>_xlfn.XLOOKUP(C11,Table1[Category],Table1[FSN_Class],0)</f>
        <v>F</v>
      </c>
    </row>
    <row r="12" spans="1:11" ht="25.5" x14ac:dyDescent="0.55000000000000004">
      <c r="A12" s="9" t="s">
        <v>208</v>
      </c>
      <c r="B12" s="9" t="s">
        <v>72</v>
      </c>
      <c r="C12" s="9" t="s">
        <v>12</v>
      </c>
      <c r="D12" s="10">
        <v>94</v>
      </c>
      <c r="E12" s="9" t="s">
        <v>81</v>
      </c>
      <c r="F12" s="11">
        <v>373.99999999999994</v>
      </c>
      <c r="G12" s="11">
        <v>411.4</v>
      </c>
      <c r="H12" s="14">
        <v>46357</v>
      </c>
      <c r="I12" s="13">
        <f t="shared" ca="1" si="0"/>
        <v>288</v>
      </c>
      <c r="J12" s="9" t="str">
        <f>_xlfn.XLOOKUP('Item Inventory'!C12,Table1[Category],Table1[ABC_Class],0)</f>
        <v>A</v>
      </c>
      <c r="K12" s="9" t="str">
        <f>_xlfn.XLOOKUP(C12,Table1[Category],Table1[FSN_Class],0)</f>
        <v>F</v>
      </c>
    </row>
    <row r="13" spans="1:11" ht="25.5" x14ac:dyDescent="0.55000000000000004">
      <c r="A13" s="9" t="s">
        <v>209</v>
      </c>
      <c r="B13" s="9" t="s">
        <v>195</v>
      </c>
      <c r="C13" s="9" t="s">
        <v>14</v>
      </c>
      <c r="D13" s="10">
        <v>56</v>
      </c>
      <c r="E13" s="9" t="s">
        <v>198</v>
      </c>
      <c r="F13" s="11">
        <v>169.49090909090907</v>
      </c>
      <c r="G13" s="11">
        <v>186.44</v>
      </c>
      <c r="H13" s="14">
        <v>45748</v>
      </c>
      <c r="I13" s="13">
        <f t="shared" ca="1" si="0"/>
        <v>-321</v>
      </c>
      <c r="J13" s="9" t="str">
        <f>_xlfn.XLOOKUP('Item Inventory'!C13,Table1[Category],Table1[ABC_Class],0)</f>
        <v>A</v>
      </c>
      <c r="K13" s="9" t="str">
        <f>_xlfn.XLOOKUP(C13,Table1[Category],Table1[FSN_Class],0)</f>
        <v>F</v>
      </c>
    </row>
    <row r="14" spans="1:11" ht="25.5" x14ac:dyDescent="0.55000000000000004">
      <c r="A14" s="9" t="s">
        <v>210</v>
      </c>
      <c r="B14" s="9" t="s">
        <v>82</v>
      </c>
      <c r="C14" s="9" t="s">
        <v>14</v>
      </c>
      <c r="D14" s="10">
        <v>25</v>
      </c>
      <c r="E14" s="9" t="s">
        <v>151</v>
      </c>
      <c r="F14" s="11">
        <v>169.49090909090901</v>
      </c>
      <c r="G14" s="11">
        <v>186.44</v>
      </c>
      <c r="H14" s="14">
        <v>46054</v>
      </c>
      <c r="I14" s="13">
        <f t="shared" ca="1" si="0"/>
        <v>-15</v>
      </c>
      <c r="J14" s="9" t="str">
        <f>_xlfn.XLOOKUP('Item Inventory'!C14,Table1[Category],Table1[ABC_Class],0)</f>
        <v>A</v>
      </c>
      <c r="K14" s="9" t="str">
        <f>_xlfn.XLOOKUP(C14,Table1[Category],Table1[FSN_Class],0)</f>
        <v>F</v>
      </c>
    </row>
    <row r="15" spans="1:11" ht="25.5" x14ac:dyDescent="0.55000000000000004">
      <c r="A15" s="9" t="s">
        <v>211</v>
      </c>
      <c r="B15" s="9" t="s">
        <v>83</v>
      </c>
      <c r="C15" s="9" t="s">
        <v>64</v>
      </c>
      <c r="D15" s="10">
        <v>99</v>
      </c>
      <c r="E15" s="9" t="s">
        <v>151</v>
      </c>
      <c r="F15" s="11">
        <v>109.41818181818181</v>
      </c>
      <c r="G15" s="11">
        <v>120.36</v>
      </c>
      <c r="H15" s="12">
        <f>_xlfn.XLOOKUP(B15,'[1]Raw Data Sales'!$B:$B,'[1]Raw Data Sales'!$G:$G,0)</f>
        <v>46508</v>
      </c>
      <c r="I15" s="13">
        <f t="shared" ca="1" si="0"/>
        <v>439</v>
      </c>
      <c r="J15" s="9" t="str">
        <f>_xlfn.XLOOKUP('Item Inventory'!C15,Table1[Category],Table1[ABC_Class],0)</f>
        <v>C</v>
      </c>
      <c r="K15" s="9" t="str">
        <f>_xlfn.XLOOKUP(C15,Table1[Category],Table1[FSN_Class],0)</f>
        <v>N</v>
      </c>
    </row>
    <row r="16" spans="1:11" ht="25.5" x14ac:dyDescent="0.55000000000000004">
      <c r="A16" s="9" t="s">
        <v>212</v>
      </c>
      <c r="B16" s="9" t="s">
        <v>84</v>
      </c>
      <c r="C16" s="9" t="s">
        <v>39</v>
      </c>
      <c r="D16" s="10">
        <v>84</v>
      </c>
      <c r="E16" s="9" t="s">
        <v>151</v>
      </c>
      <c r="F16" s="11">
        <v>198.79090909090905</v>
      </c>
      <c r="G16" s="11">
        <v>218.67</v>
      </c>
      <c r="H16" s="12">
        <f>_xlfn.XLOOKUP(B16,'[1]Raw Data Sales'!$B:$B,'[1]Raw Data Sales'!$G:$G,0)</f>
        <v>46478</v>
      </c>
      <c r="I16" s="13">
        <f t="shared" ca="1" si="0"/>
        <v>409</v>
      </c>
      <c r="J16" s="9" t="str">
        <f>_xlfn.XLOOKUP('Item Inventory'!C16,Table1[Category],Table1[ABC_Class],0)</f>
        <v>C</v>
      </c>
      <c r="K16" s="9" t="str">
        <f>_xlfn.XLOOKUP(C16,Table1[Category],Table1[FSN_Class],0)</f>
        <v>S</v>
      </c>
    </row>
    <row r="17" spans="1:11" ht="25.5" x14ac:dyDescent="0.55000000000000004">
      <c r="A17" s="9" t="s">
        <v>213</v>
      </c>
      <c r="B17" s="9" t="s">
        <v>85</v>
      </c>
      <c r="C17" s="9" t="s">
        <v>47</v>
      </c>
      <c r="D17" s="10">
        <v>83</v>
      </c>
      <c r="E17" s="9" t="s">
        <v>151</v>
      </c>
      <c r="F17" s="11">
        <v>24.381818181818179</v>
      </c>
      <c r="G17" s="11">
        <v>26.82</v>
      </c>
      <c r="H17" s="12">
        <f>_xlfn.XLOOKUP(B17,'[1]Raw Data Sales'!$B:$B,'[1]Raw Data Sales'!$G:$G,0)</f>
        <v>46874</v>
      </c>
      <c r="I17" s="13">
        <f t="shared" ca="1" si="0"/>
        <v>805</v>
      </c>
      <c r="J17" s="9" t="str">
        <f>_xlfn.XLOOKUP('Item Inventory'!C17,Table1[Category],Table1[ABC_Class],0)</f>
        <v>B</v>
      </c>
      <c r="K17" s="9" t="str">
        <f>_xlfn.XLOOKUP(C17,Table1[Category],Table1[FSN_Class],0)</f>
        <v>F</v>
      </c>
    </row>
    <row r="18" spans="1:11" ht="25.5" x14ac:dyDescent="0.55000000000000004">
      <c r="A18" s="9" t="s">
        <v>214</v>
      </c>
      <c r="B18" s="9" t="s">
        <v>86</v>
      </c>
      <c r="C18" s="9" t="s">
        <v>14</v>
      </c>
      <c r="D18" s="10">
        <v>41</v>
      </c>
      <c r="E18" s="9" t="s">
        <v>151</v>
      </c>
      <c r="F18" s="11">
        <v>391.37272727272722</v>
      </c>
      <c r="G18" s="11">
        <v>430.51</v>
      </c>
      <c r="H18" s="14">
        <v>46137</v>
      </c>
      <c r="I18" s="13">
        <f t="shared" ca="1" si="0"/>
        <v>68</v>
      </c>
      <c r="J18" s="9" t="str">
        <f>_xlfn.XLOOKUP('Item Inventory'!C18,Table1[Category],Table1[ABC_Class],0)</f>
        <v>A</v>
      </c>
      <c r="K18" s="9" t="str">
        <f>_xlfn.XLOOKUP(C18,Table1[Category],Table1[FSN_Class],0)</f>
        <v>F</v>
      </c>
    </row>
    <row r="19" spans="1:11" ht="25.5" x14ac:dyDescent="0.55000000000000004">
      <c r="A19" s="9" t="s">
        <v>215</v>
      </c>
      <c r="B19" s="9" t="s">
        <v>196</v>
      </c>
      <c r="C19" s="9" t="s">
        <v>14</v>
      </c>
      <c r="D19" s="10">
        <v>84</v>
      </c>
      <c r="E19" s="9" t="s">
        <v>198</v>
      </c>
      <c r="F19" s="11">
        <v>391.37272727272722</v>
      </c>
      <c r="G19" s="11">
        <v>430.51</v>
      </c>
      <c r="H19" s="12">
        <f>_xlfn.XLOOKUP(B19,'[1]Raw Data Sales'!$B:$B,'[1]Raw Data Sales'!$G:$G,0)</f>
        <v>46478</v>
      </c>
      <c r="I19" s="13">
        <f t="shared" ca="1" si="0"/>
        <v>409</v>
      </c>
      <c r="J19" s="9" t="str">
        <f>_xlfn.XLOOKUP('Item Inventory'!C19,Table1[Category],Table1[ABC_Class],0)</f>
        <v>A</v>
      </c>
      <c r="K19" s="9" t="str">
        <f>_xlfn.XLOOKUP(C19,Table1[Category],Table1[FSN_Class],0)</f>
        <v>F</v>
      </c>
    </row>
    <row r="20" spans="1:11" ht="25.5" x14ac:dyDescent="0.55000000000000004">
      <c r="A20" s="9" t="s">
        <v>216</v>
      </c>
      <c r="B20" s="9" t="s">
        <v>87</v>
      </c>
      <c r="C20" s="9" t="s">
        <v>47</v>
      </c>
      <c r="D20" s="10">
        <v>86</v>
      </c>
      <c r="E20" s="9" t="s">
        <v>151</v>
      </c>
      <c r="F20" s="11">
        <v>45.172727272727265</v>
      </c>
      <c r="G20" s="11">
        <v>49.69</v>
      </c>
      <c r="H20" s="12">
        <f>_xlfn.XLOOKUP(B20,'[1]Raw Data Sales'!$B:$B,'[1]Raw Data Sales'!$G:$G,0)</f>
        <v>46478</v>
      </c>
      <c r="I20" s="13">
        <f t="shared" ca="1" si="0"/>
        <v>409</v>
      </c>
      <c r="J20" s="9" t="str">
        <f>_xlfn.XLOOKUP('Item Inventory'!C20,Table1[Category],Table1[ABC_Class],0)</f>
        <v>B</v>
      </c>
      <c r="K20" s="9" t="str">
        <f>_xlfn.XLOOKUP(C20,Table1[Category],Table1[FSN_Class],0)</f>
        <v>F</v>
      </c>
    </row>
    <row r="21" spans="1:11" ht="25.5" x14ac:dyDescent="0.55000000000000004">
      <c r="A21" s="9" t="s">
        <v>438</v>
      </c>
      <c r="B21" s="9" t="s">
        <v>414</v>
      </c>
      <c r="C21" s="9" t="s">
        <v>47</v>
      </c>
      <c r="D21" s="10">
        <v>37</v>
      </c>
      <c r="E21" s="9" t="s">
        <v>416</v>
      </c>
      <c r="F21" s="15" t="s">
        <v>416</v>
      </c>
      <c r="G21" s="11">
        <v>35</v>
      </c>
      <c r="H21" s="14">
        <v>46357</v>
      </c>
      <c r="I21" s="13">
        <f t="shared" ca="1" si="0"/>
        <v>288</v>
      </c>
      <c r="J21" s="9" t="s">
        <v>468</v>
      </c>
      <c r="K21" s="9" t="str">
        <f>_xlfn.XLOOKUP(C21,Table1[Category],Table1[FSN_Class],0)</f>
        <v>F</v>
      </c>
    </row>
    <row r="22" spans="1:11" ht="25.5" x14ac:dyDescent="0.55000000000000004">
      <c r="A22" s="9" t="s">
        <v>218</v>
      </c>
      <c r="B22" s="9" t="s">
        <v>29</v>
      </c>
      <c r="C22" s="9" t="s">
        <v>12</v>
      </c>
      <c r="D22" s="10">
        <v>81</v>
      </c>
      <c r="E22" s="9" t="s">
        <v>66</v>
      </c>
      <c r="F22" s="11">
        <v>87.190909090909088</v>
      </c>
      <c r="G22" s="11">
        <v>95.91</v>
      </c>
      <c r="H22" s="14">
        <v>46357</v>
      </c>
      <c r="I22" s="13">
        <f t="shared" ca="1" si="0"/>
        <v>288</v>
      </c>
      <c r="J22" s="9" t="str">
        <f>_xlfn.XLOOKUP('Item Inventory'!C22,Table1[Category],Table1[ABC_Class],0)</f>
        <v>A</v>
      </c>
      <c r="K22" s="9" t="str">
        <f>_xlfn.XLOOKUP(C22,Table1[Category],Table1[FSN_Class],0)</f>
        <v>F</v>
      </c>
    </row>
    <row r="23" spans="1:11" ht="25.5" x14ac:dyDescent="0.55000000000000004">
      <c r="A23" s="9" t="s">
        <v>219</v>
      </c>
      <c r="B23" s="9" t="s">
        <v>88</v>
      </c>
      <c r="C23" s="9" t="s">
        <v>14</v>
      </c>
      <c r="D23" s="10">
        <v>53</v>
      </c>
      <c r="E23" s="9" t="s">
        <v>151</v>
      </c>
      <c r="F23" s="11">
        <v>225.97272727272724</v>
      </c>
      <c r="G23" s="11">
        <v>248.57</v>
      </c>
      <c r="H23" s="14">
        <v>45748</v>
      </c>
      <c r="I23" s="16">
        <f t="shared" ca="1" si="0"/>
        <v>-321</v>
      </c>
      <c r="J23" s="9" t="str">
        <f>_xlfn.XLOOKUP('Item Inventory'!C23,Table1[Category],Table1[ABC_Class],0)</f>
        <v>A</v>
      </c>
      <c r="K23" s="9" t="str">
        <f>_xlfn.XLOOKUP(C23,Table1[Category],Table1[FSN_Class],0)</f>
        <v>F</v>
      </c>
    </row>
    <row r="24" spans="1:11" ht="25.5" x14ac:dyDescent="0.55000000000000004">
      <c r="A24" s="9" t="s">
        <v>220</v>
      </c>
      <c r="B24" s="9" t="s">
        <v>89</v>
      </c>
      <c r="C24" s="9" t="s">
        <v>12</v>
      </c>
      <c r="D24" s="10">
        <v>80</v>
      </c>
      <c r="E24" s="9" t="s">
        <v>151</v>
      </c>
      <c r="F24" s="11">
        <v>87.190909090909088</v>
      </c>
      <c r="G24" s="11">
        <v>95.91</v>
      </c>
      <c r="H24" s="14">
        <v>46091</v>
      </c>
      <c r="I24" s="17">
        <f ca="1">H24-TODAY()</f>
        <v>22</v>
      </c>
      <c r="J24" s="9" t="str">
        <f>_xlfn.XLOOKUP('Item Inventory'!C24,Table1[Category],Table1[ABC_Class],0)</f>
        <v>A</v>
      </c>
      <c r="K24" s="9" t="str">
        <f>_xlfn.XLOOKUP(C24,Table1[Category],Table1[FSN_Class],0)</f>
        <v>F</v>
      </c>
    </row>
    <row r="25" spans="1:11" ht="25.5" x14ac:dyDescent="0.55000000000000004">
      <c r="A25" s="9" t="s">
        <v>221</v>
      </c>
      <c r="B25" s="9" t="s">
        <v>90</v>
      </c>
      <c r="C25" s="9" t="s">
        <v>12</v>
      </c>
      <c r="D25" s="10">
        <v>98</v>
      </c>
      <c r="E25" s="9" t="s">
        <v>151</v>
      </c>
      <c r="F25" s="11">
        <v>21.981818181818181</v>
      </c>
      <c r="G25" s="11">
        <v>24.18</v>
      </c>
      <c r="H25" s="12">
        <f>_xlfn.XLOOKUP(B25,'[1]Raw Data Sales'!$B:$B,'[1]Raw Data Sales'!$G:$G,0)</f>
        <v>46753</v>
      </c>
      <c r="I25" s="13">
        <f t="shared" ca="1" si="0"/>
        <v>684</v>
      </c>
      <c r="J25" s="9" t="str">
        <f>_xlfn.XLOOKUP('Item Inventory'!C25,Table1[Category],Table1[ABC_Class],0)</f>
        <v>A</v>
      </c>
      <c r="K25" s="9" t="str">
        <f>_xlfn.XLOOKUP(C25,Table1[Category],Table1[FSN_Class],0)</f>
        <v>F</v>
      </c>
    </row>
    <row r="26" spans="1:11" ht="25.5" x14ac:dyDescent="0.55000000000000004">
      <c r="A26" s="9" t="s">
        <v>222</v>
      </c>
      <c r="B26" s="9" t="s">
        <v>91</v>
      </c>
      <c r="C26" s="9" t="s">
        <v>43</v>
      </c>
      <c r="D26" s="10">
        <v>82</v>
      </c>
      <c r="E26" s="9" t="s">
        <v>151</v>
      </c>
      <c r="F26" s="11">
        <v>84</v>
      </c>
      <c r="G26" s="11">
        <v>92.4</v>
      </c>
      <c r="H26" s="12">
        <f>_xlfn.XLOOKUP(B26,'[1]Raw Data Sales'!$B:$B,'[1]Raw Data Sales'!$G:$G,0)</f>
        <v>46296</v>
      </c>
      <c r="I26" s="13">
        <f t="shared" ca="1" si="0"/>
        <v>227</v>
      </c>
      <c r="J26" s="9" t="str">
        <f>_xlfn.XLOOKUP('Item Inventory'!C26,Table1[Category],Table1[ABC_Class],0)</f>
        <v>A</v>
      </c>
      <c r="K26" s="9" t="str">
        <f>_xlfn.XLOOKUP(C26,Table1[Category],Table1[FSN_Class],0)</f>
        <v>F</v>
      </c>
    </row>
    <row r="27" spans="1:11" ht="25.5" x14ac:dyDescent="0.55000000000000004">
      <c r="A27" s="9" t="s">
        <v>223</v>
      </c>
      <c r="B27" s="9" t="s">
        <v>92</v>
      </c>
      <c r="C27" s="9" t="s">
        <v>43</v>
      </c>
      <c r="D27" s="10">
        <v>54</v>
      </c>
      <c r="E27" s="9" t="s">
        <v>151</v>
      </c>
      <c r="F27" s="11">
        <v>71.418181818181822</v>
      </c>
      <c r="G27" s="11">
        <v>78.56</v>
      </c>
      <c r="H27" s="12">
        <f>_xlfn.XLOOKUP(B27,'[1]Raw Data Sales'!$B:$B,'[1]Raw Data Sales'!$G:$G,0)</f>
        <v>46204</v>
      </c>
      <c r="I27" s="13">
        <f t="shared" ca="1" si="0"/>
        <v>135</v>
      </c>
      <c r="J27" s="9" t="str">
        <f>_xlfn.XLOOKUP('Item Inventory'!C27,Table1[Category],Table1[ABC_Class],0)</f>
        <v>A</v>
      </c>
      <c r="K27" s="9" t="str">
        <f>_xlfn.XLOOKUP(C27,Table1[Category],Table1[FSN_Class],0)</f>
        <v>F</v>
      </c>
    </row>
    <row r="28" spans="1:11" ht="25.5" x14ac:dyDescent="0.55000000000000004">
      <c r="A28" s="9" t="s">
        <v>224</v>
      </c>
      <c r="B28" s="9" t="s">
        <v>11</v>
      </c>
      <c r="C28" s="9" t="s">
        <v>13</v>
      </c>
      <c r="D28" s="10">
        <v>95</v>
      </c>
      <c r="E28" s="9" t="s">
        <v>18</v>
      </c>
      <c r="F28" s="11">
        <v>555.29999999999995</v>
      </c>
      <c r="G28" s="11">
        <v>610.83000000000004</v>
      </c>
      <c r="H28" s="14">
        <v>46127</v>
      </c>
      <c r="I28" s="13">
        <f t="shared" ca="1" si="0"/>
        <v>58</v>
      </c>
      <c r="J28" s="9" t="str">
        <f>_xlfn.XLOOKUP('Item Inventory'!C28,Table1[Category],Table1[ABC_Class],0)</f>
        <v>B</v>
      </c>
      <c r="K28" s="9" t="str">
        <f>_xlfn.XLOOKUP(C28,Table1[Category],Table1[FSN_Class],0)</f>
        <v>N</v>
      </c>
    </row>
    <row r="29" spans="1:11" ht="25.5" x14ac:dyDescent="0.55000000000000004">
      <c r="A29" s="9" t="s">
        <v>225</v>
      </c>
      <c r="B29" s="9" t="s">
        <v>93</v>
      </c>
      <c r="C29" s="9" t="s">
        <v>94</v>
      </c>
      <c r="D29" s="10">
        <v>71</v>
      </c>
      <c r="E29" s="9" t="s">
        <v>151</v>
      </c>
      <c r="F29" s="11">
        <v>131.81818181818181</v>
      </c>
      <c r="G29" s="11">
        <v>145</v>
      </c>
      <c r="H29" s="12">
        <f>_xlfn.XLOOKUP(B29,'[1]Raw Data Sales'!$B:$B,'[1]Raw Data Sales'!$G:$G,0)</f>
        <v>46447</v>
      </c>
      <c r="I29" s="13">
        <f t="shared" ca="1" si="0"/>
        <v>378</v>
      </c>
      <c r="J29" s="9" t="str">
        <f>_xlfn.XLOOKUP('Item Inventory'!C29,Table1[Category],Table1[ABC_Class],0)</f>
        <v>C</v>
      </c>
      <c r="K29" s="9" t="str">
        <f>_xlfn.XLOOKUP(C29,Table1[Category],Table1[FSN_Class],0)</f>
        <v>N</v>
      </c>
    </row>
    <row r="30" spans="1:11" ht="25.5" x14ac:dyDescent="0.55000000000000004">
      <c r="A30" s="9" t="s">
        <v>226</v>
      </c>
      <c r="B30" s="9" t="s">
        <v>95</v>
      </c>
      <c r="C30" s="9" t="s">
        <v>12</v>
      </c>
      <c r="D30" s="10">
        <v>96</v>
      </c>
      <c r="E30" s="9" t="s">
        <v>151</v>
      </c>
      <c r="F30" s="11">
        <v>85.718181818181819</v>
      </c>
      <c r="G30" s="11">
        <v>94.29</v>
      </c>
      <c r="H30" s="12">
        <f>_xlfn.XLOOKUP(B30,'[1]Raw Data Sales'!$B:$B,'[1]Raw Data Sales'!$G:$G,0)</f>
        <v>46447</v>
      </c>
      <c r="I30" s="13">
        <f t="shared" ca="1" si="0"/>
        <v>378</v>
      </c>
      <c r="J30" s="9" t="str">
        <f>_xlfn.XLOOKUP('Item Inventory'!C30,Table1[Category],Table1[ABC_Class],0)</f>
        <v>A</v>
      </c>
      <c r="K30" s="9" t="str">
        <f>_xlfn.XLOOKUP(C30,Table1[Category],Table1[FSN_Class],0)</f>
        <v>F</v>
      </c>
    </row>
    <row r="31" spans="1:11" ht="25.5" x14ac:dyDescent="0.55000000000000004">
      <c r="A31" s="9" t="s">
        <v>227</v>
      </c>
      <c r="B31" s="9" t="s">
        <v>96</v>
      </c>
      <c r="C31" s="9" t="s">
        <v>41</v>
      </c>
      <c r="D31" s="10">
        <v>96</v>
      </c>
      <c r="E31" s="9" t="s">
        <v>151</v>
      </c>
      <c r="F31" s="11">
        <v>188.30909090909088</v>
      </c>
      <c r="G31" s="11">
        <v>207.14</v>
      </c>
      <c r="H31" s="12">
        <f>_xlfn.XLOOKUP(B31,'[1]Raw Data Sales'!$B:$B,'[1]Raw Data Sales'!$G:$G,0)</f>
        <v>46478</v>
      </c>
      <c r="I31" s="13">
        <f t="shared" ca="1" si="0"/>
        <v>409</v>
      </c>
      <c r="J31" s="9" t="str">
        <f>_xlfn.XLOOKUP('Item Inventory'!C31,Table1[Category],Table1[ABC_Class],0)</f>
        <v>A</v>
      </c>
      <c r="K31" s="9" t="str">
        <f>_xlfn.XLOOKUP(C31,Table1[Category],Table1[FSN_Class],0)</f>
        <v>S</v>
      </c>
    </row>
    <row r="32" spans="1:11" ht="25.5" x14ac:dyDescent="0.55000000000000004">
      <c r="A32" s="9" t="s">
        <v>228</v>
      </c>
      <c r="B32" s="9" t="s">
        <v>158</v>
      </c>
      <c r="C32" s="9" t="s">
        <v>26</v>
      </c>
      <c r="D32" s="10">
        <v>24</v>
      </c>
      <c r="E32" s="9" t="s">
        <v>192</v>
      </c>
      <c r="F32" s="11">
        <v>27.518181818181816</v>
      </c>
      <c r="G32" s="11">
        <v>30.27</v>
      </c>
      <c r="H32" s="12">
        <f>_xlfn.XLOOKUP(B32,'[1]Raw Data Sales'!$B:$B,'[1]Raw Data Sales'!$G:$G,0)</f>
        <v>46874</v>
      </c>
      <c r="I32" s="13">
        <f t="shared" ca="1" si="0"/>
        <v>805</v>
      </c>
      <c r="J32" s="9" t="str">
        <f>_xlfn.XLOOKUP('Item Inventory'!C32,Table1[Category],Table1[ABC_Class],0)</f>
        <v>A</v>
      </c>
      <c r="K32" s="9" t="str">
        <f>_xlfn.XLOOKUP(C32,Table1[Category],Table1[FSN_Class],0)</f>
        <v>F</v>
      </c>
    </row>
    <row r="33" spans="1:11" ht="25.5" x14ac:dyDescent="0.55000000000000004">
      <c r="A33" s="9" t="s">
        <v>229</v>
      </c>
      <c r="B33" s="9" t="s">
        <v>159</v>
      </c>
      <c r="C33" s="9" t="s">
        <v>39</v>
      </c>
      <c r="D33" s="10">
        <v>32</v>
      </c>
      <c r="E33" s="9" t="s">
        <v>192</v>
      </c>
      <c r="F33" s="11">
        <v>126.91818181818182</v>
      </c>
      <c r="G33" s="11">
        <v>139.61000000000001</v>
      </c>
      <c r="H33" s="12">
        <f>_xlfn.XLOOKUP(B33,'[1]Raw Data Sales'!$B:$B,'[1]Raw Data Sales'!$G:$G,0)</f>
        <v>46508</v>
      </c>
      <c r="I33" s="13">
        <f t="shared" ca="1" si="0"/>
        <v>439</v>
      </c>
      <c r="J33" s="9" t="str">
        <f>_xlfn.XLOOKUP('Item Inventory'!C33,Table1[Category],Table1[ABC_Class],0)</f>
        <v>C</v>
      </c>
      <c r="K33" s="9" t="str">
        <f>_xlfn.XLOOKUP(C33,Table1[Category],Table1[FSN_Class],0)</f>
        <v>S</v>
      </c>
    </row>
    <row r="34" spans="1:11" ht="25.5" x14ac:dyDescent="0.55000000000000004">
      <c r="A34" s="9" t="s">
        <v>230</v>
      </c>
      <c r="B34" s="9" t="s">
        <v>30</v>
      </c>
      <c r="C34" s="9" t="s">
        <v>34</v>
      </c>
      <c r="D34" s="10">
        <v>48</v>
      </c>
      <c r="E34" s="9" t="s">
        <v>66</v>
      </c>
      <c r="F34" s="11">
        <v>30.272727272727266</v>
      </c>
      <c r="G34" s="11">
        <v>33.299999999999997</v>
      </c>
      <c r="H34" s="14">
        <v>46151</v>
      </c>
      <c r="I34" s="13">
        <f t="shared" ca="1" si="0"/>
        <v>82</v>
      </c>
      <c r="J34" s="9" t="str">
        <f>_xlfn.XLOOKUP('Item Inventory'!C34,Table1[Category],Table1[ABC_Class],0)</f>
        <v>B</v>
      </c>
      <c r="K34" s="9" t="str">
        <f>_xlfn.XLOOKUP(C34,Table1[Category],Table1[FSN_Class],0)</f>
        <v>S</v>
      </c>
    </row>
    <row r="35" spans="1:11" ht="25.5" x14ac:dyDescent="0.55000000000000004">
      <c r="A35" s="9" t="s">
        <v>231</v>
      </c>
      <c r="B35" s="9" t="s">
        <v>97</v>
      </c>
      <c r="C35" s="9" t="s">
        <v>41</v>
      </c>
      <c r="D35" s="10">
        <v>83</v>
      </c>
      <c r="E35" s="9" t="s">
        <v>151</v>
      </c>
      <c r="F35" s="11">
        <v>350.36363636363632</v>
      </c>
      <c r="G35" s="11">
        <v>385.4</v>
      </c>
      <c r="H35" s="12">
        <f>_xlfn.XLOOKUP(B35,'[1]Raw Data Sales'!$B:$B,'[1]Raw Data Sales'!$G:$G,0)</f>
        <v>46539</v>
      </c>
      <c r="I35" s="13">
        <f t="shared" ca="1" si="0"/>
        <v>470</v>
      </c>
      <c r="J35" s="9" t="str">
        <f>_xlfn.XLOOKUP('Item Inventory'!C35,Table1[Category],Table1[ABC_Class],0)</f>
        <v>A</v>
      </c>
      <c r="K35" s="9" t="str">
        <f>_xlfn.XLOOKUP(C35,Table1[Category],Table1[FSN_Class],0)</f>
        <v>S</v>
      </c>
    </row>
    <row r="36" spans="1:11" ht="25.5" x14ac:dyDescent="0.55000000000000004">
      <c r="A36" s="9" t="s">
        <v>232</v>
      </c>
      <c r="B36" s="9" t="s">
        <v>51</v>
      </c>
      <c r="C36" s="9" t="s">
        <v>14</v>
      </c>
      <c r="D36" s="10">
        <v>49</v>
      </c>
      <c r="E36" s="9" t="s">
        <v>66</v>
      </c>
      <c r="F36" s="11">
        <v>80.745454545454535</v>
      </c>
      <c r="G36" s="11">
        <v>88.82</v>
      </c>
      <c r="H36" s="12">
        <f>_xlfn.XLOOKUP(B36,'[1]Raw Data Sales'!$B:$B,'[1]Raw Data Sales'!$G:$G,0)</f>
        <v>46478</v>
      </c>
      <c r="I36" s="13">
        <f t="shared" ca="1" si="0"/>
        <v>409</v>
      </c>
      <c r="J36" s="9" t="str">
        <f>_xlfn.XLOOKUP('Item Inventory'!C36,Table1[Category],Table1[ABC_Class],0)</f>
        <v>A</v>
      </c>
      <c r="K36" s="9" t="str">
        <f>_xlfn.XLOOKUP(C36,Table1[Category],Table1[FSN_Class],0)</f>
        <v>F</v>
      </c>
    </row>
    <row r="37" spans="1:11" ht="25.5" x14ac:dyDescent="0.55000000000000004">
      <c r="A37" s="9" t="s">
        <v>233</v>
      </c>
      <c r="B37" s="9" t="s">
        <v>160</v>
      </c>
      <c r="C37" s="9" t="s">
        <v>12</v>
      </c>
      <c r="D37" s="10">
        <v>84</v>
      </c>
      <c r="E37" s="9" t="s">
        <v>192</v>
      </c>
      <c r="F37" s="11">
        <v>462.85454545454542</v>
      </c>
      <c r="G37" s="11">
        <v>509.14</v>
      </c>
      <c r="H37" s="12">
        <f>_xlfn.XLOOKUP(B37,'[1]Raw Data Sales'!$B:$B,'[1]Raw Data Sales'!$G:$G,0)</f>
        <v>46539</v>
      </c>
      <c r="I37" s="13">
        <f t="shared" ca="1" si="0"/>
        <v>470</v>
      </c>
      <c r="J37" s="9" t="str">
        <f>_xlfn.XLOOKUP('Item Inventory'!C37,Table1[Category],Table1[ABC_Class],0)</f>
        <v>A</v>
      </c>
      <c r="K37" s="9" t="str">
        <f>_xlfn.XLOOKUP(C37,Table1[Category],Table1[FSN_Class],0)</f>
        <v>F</v>
      </c>
    </row>
    <row r="38" spans="1:11" ht="25.5" x14ac:dyDescent="0.55000000000000004">
      <c r="A38" s="9" t="s">
        <v>234</v>
      </c>
      <c r="B38" s="9" t="s">
        <v>98</v>
      </c>
      <c r="C38" s="9" t="s">
        <v>12</v>
      </c>
      <c r="D38" s="10">
        <v>56</v>
      </c>
      <c r="E38" s="9" t="s">
        <v>151</v>
      </c>
      <c r="F38" s="11">
        <v>65.454545454545453</v>
      </c>
      <c r="G38" s="11">
        <v>72</v>
      </c>
      <c r="H38" s="12">
        <f>_xlfn.XLOOKUP(B38,'[1]Raw Data Sales'!$B:$B,'[1]Raw Data Sales'!$G:$G,0)</f>
        <v>46388</v>
      </c>
      <c r="I38" s="13">
        <f t="shared" ca="1" si="0"/>
        <v>319</v>
      </c>
      <c r="J38" s="9" t="str">
        <f>_xlfn.XLOOKUP('Item Inventory'!C38,Table1[Category],Table1[ABC_Class],0)</f>
        <v>A</v>
      </c>
      <c r="K38" s="9" t="str">
        <f>_xlfn.XLOOKUP(C38,Table1[Category],Table1[FSN_Class],0)</f>
        <v>F</v>
      </c>
    </row>
    <row r="39" spans="1:11" ht="25.5" x14ac:dyDescent="0.55000000000000004">
      <c r="A39" s="9" t="s">
        <v>235</v>
      </c>
      <c r="B39" s="9" t="s">
        <v>98</v>
      </c>
      <c r="C39" s="9" t="s">
        <v>12</v>
      </c>
      <c r="D39" s="10">
        <v>59</v>
      </c>
      <c r="E39" s="9" t="s">
        <v>192</v>
      </c>
      <c r="F39" s="11">
        <v>65.454545454545453</v>
      </c>
      <c r="G39" s="11">
        <v>72</v>
      </c>
      <c r="H39" s="14">
        <v>46143</v>
      </c>
      <c r="I39" s="13">
        <f t="shared" ca="1" si="0"/>
        <v>74</v>
      </c>
      <c r="J39" s="9" t="str">
        <f>_xlfn.XLOOKUP('Item Inventory'!C39,Table1[Category],Table1[ABC_Class],0)</f>
        <v>A</v>
      </c>
      <c r="K39" s="9" t="str">
        <f>_xlfn.XLOOKUP(C39,Table1[Category],Table1[FSN_Class],0)</f>
        <v>F</v>
      </c>
    </row>
    <row r="40" spans="1:11" ht="25.5" x14ac:dyDescent="0.55000000000000004">
      <c r="A40" s="9" t="s">
        <v>236</v>
      </c>
      <c r="B40" s="9" t="s">
        <v>99</v>
      </c>
      <c r="C40" s="9" t="s">
        <v>12</v>
      </c>
      <c r="D40" s="10">
        <v>42</v>
      </c>
      <c r="E40" s="9" t="s">
        <v>151</v>
      </c>
      <c r="F40" s="11">
        <v>163.63636363636363</v>
      </c>
      <c r="G40" s="11">
        <v>180</v>
      </c>
      <c r="H40" s="12">
        <f>_xlfn.XLOOKUP(B40,'[1]Raw Data Sales'!$B:$B,'[1]Raw Data Sales'!$G:$G,0)</f>
        <v>46508</v>
      </c>
      <c r="I40" s="13">
        <f t="shared" ca="1" si="0"/>
        <v>439</v>
      </c>
      <c r="J40" s="9" t="str">
        <f>_xlfn.XLOOKUP('Item Inventory'!C40,Table1[Category],Table1[ABC_Class],0)</f>
        <v>A</v>
      </c>
      <c r="K40" s="9" t="str">
        <f>_xlfn.XLOOKUP(C40,Table1[Category],Table1[FSN_Class],0)</f>
        <v>F</v>
      </c>
    </row>
    <row r="41" spans="1:11" ht="25.5" x14ac:dyDescent="0.55000000000000004">
      <c r="A41" s="9" t="s">
        <v>237</v>
      </c>
      <c r="B41" s="9" t="s">
        <v>100</v>
      </c>
      <c r="C41" s="9" t="s">
        <v>14</v>
      </c>
      <c r="D41" s="10">
        <v>90</v>
      </c>
      <c r="E41" s="9" t="s">
        <v>151</v>
      </c>
      <c r="F41" s="11">
        <v>412.32727272727271</v>
      </c>
      <c r="G41" s="11">
        <v>453.56</v>
      </c>
      <c r="H41" s="12">
        <f>_xlfn.XLOOKUP(B41,'[1]Raw Data Sales'!$B:$B,'[1]Raw Data Sales'!$G:$G,0)</f>
        <v>46874</v>
      </c>
      <c r="I41" s="13">
        <f t="shared" ca="1" si="0"/>
        <v>805</v>
      </c>
      <c r="J41" s="9" t="str">
        <f>_xlfn.XLOOKUP('Item Inventory'!C41,Table1[Category],Table1[ABC_Class],0)</f>
        <v>A</v>
      </c>
      <c r="K41" s="9" t="str">
        <f>_xlfn.XLOOKUP(C41,Table1[Category],Table1[FSN_Class],0)</f>
        <v>F</v>
      </c>
    </row>
    <row r="42" spans="1:11" ht="25.5" x14ac:dyDescent="0.55000000000000004">
      <c r="A42" s="9" t="s">
        <v>238</v>
      </c>
      <c r="B42" s="9" t="s">
        <v>21</v>
      </c>
      <c r="C42" s="9" t="s">
        <v>14</v>
      </c>
      <c r="D42" s="10">
        <v>57</v>
      </c>
      <c r="E42" s="9" t="s">
        <v>22</v>
      </c>
      <c r="F42" s="11">
        <v>246.5363636363636</v>
      </c>
      <c r="G42" s="11">
        <v>271.19</v>
      </c>
      <c r="H42" s="12">
        <f>_xlfn.XLOOKUP(B42,'[1]Raw Data Sales'!$B:$B,'[1]Raw Data Sales'!$G:$G,0)</f>
        <v>46539</v>
      </c>
      <c r="I42" s="13">
        <f t="shared" ca="1" si="0"/>
        <v>470</v>
      </c>
      <c r="J42" s="9" t="str">
        <f>_xlfn.XLOOKUP('Item Inventory'!C42,Table1[Category],Table1[ABC_Class],0)</f>
        <v>A</v>
      </c>
      <c r="K42" s="9" t="str">
        <f>_xlfn.XLOOKUP(C42,Table1[Category],Table1[FSN_Class],0)</f>
        <v>F</v>
      </c>
    </row>
    <row r="43" spans="1:11" ht="25.5" x14ac:dyDescent="0.55000000000000004">
      <c r="A43" s="9" t="s">
        <v>239</v>
      </c>
      <c r="B43" s="9" t="s">
        <v>101</v>
      </c>
      <c r="C43" s="9" t="s">
        <v>14</v>
      </c>
      <c r="D43" s="10">
        <v>83</v>
      </c>
      <c r="E43" s="9" t="s">
        <v>151</v>
      </c>
      <c r="F43" s="11">
        <v>340.90909090909088</v>
      </c>
      <c r="G43" s="11">
        <v>375</v>
      </c>
      <c r="H43" s="12">
        <f>_xlfn.XLOOKUP(B43,'[1]Raw Data Sales'!$B:$B,'[1]Raw Data Sales'!$G:$G,0)</f>
        <v>46478</v>
      </c>
      <c r="I43" s="13">
        <f t="shared" ca="1" si="0"/>
        <v>409</v>
      </c>
      <c r="J43" s="9" t="str">
        <f>_xlfn.XLOOKUP('Item Inventory'!C43,Table1[Category],Table1[ABC_Class],0)</f>
        <v>A</v>
      </c>
      <c r="K43" s="9" t="str">
        <f>_xlfn.XLOOKUP(C43,Table1[Category],Table1[FSN_Class],0)</f>
        <v>F</v>
      </c>
    </row>
    <row r="44" spans="1:11" ht="25.5" x14ac:dyDescent="0.55000000000000004">
      <c r="A44" s="9" t="s">
        <v>240</v>
      </c>
      <c r="B44" s="9" t="s">
        <v>32</v>
      </c>
      <c r="C44" s="9" t="s">
        <v>14</v>
      </c>
      <c r="D44" s="10">
        <v>88</v>
      </c>
      <c r="E44" s="9" t="s">
        <v>66</v>
      </c>
      <c r="F44" s="11">
        <v>25.227272727272727</v>
      </c>
      <c r="G44" s="11">
        <v>27.75</v>
      </c>
      <c r="H44" s="12">
        <f>_xlfn.XLOOKUP(B44,'[1]Raw Data Sales'!$B:$B,'[1]Raw Data Sales'!$G:$G,0)</f>
        <v>46478</v>
      </c>
      <c r="I44" s="13">
        <f t="shared" ca="1" si="0"/>
        <v>409</v>
      </c>
      <c r="J44" s="9" t="str">
        <f>_xlfn.XLOOKUP('Item Inventory'!C44,Table1[Category],Table1[ABC_Class],0)</f>
        <v>A</v>
      </c>
      <c r="K44" s="9" t="str">
        <f>_xlfn.XLOOKUP(C44,Table1[Category],Table1[FSN_Class],0)</f>
        <v>F</v>
      </c>
    </row>
    <row r="45" spans="1:11" ht="25.5" x14ac:dyDescent="0.55000000000000004">
      <c r="A45" s="9" t="s">
        <v>241</v>
      </c>
      <c r="B45" s="9" t="s">
        <v>102</v>
      </c>
      <c r="C45" s="9" t="s">
        <v>41</v>
      </c>
      <c r="D45" s="10">
        <v>25</v>
      </c>
      <c r="E45" s="9" t="s">
        <v>151</v>
      </c>
      <c r="F45" s="11">
        <v>128.23636363636362</v>
      </c>
      <c r="G45" s="11">
        <v>141.06</v>
      </c>
      <c r="H45" s="12">
        <f>_xlfn.XLOOKUP(B45,'[1]Raw Data Sales'!$B:$B,'[1]Raw Data Sales'!$G:$G,0)</f>
        <v>46539</v>
      </c>
      <c r="I45" s="13">
        <f t="shared" ca="1" si="0"/>
        <v>470</v>
      </c>
      <c r="J45" s="9" t="str">
        <f>_xlfn.XLOOKUP('Item Inventory'!C45,Table1[Category],Table1[ABC_Class],0)</f>
        <v>A</v>
      </c>
      <c r="K45" s="9" t="str">
        <f>_xlfn.XLOOKUP(C45,Table1[Category],Table1[FSN_Class],0)</f>
        <v>S</v>
      </c>
    </row>
    <row r="46" spans="1:11" ht="25.5" x14ac:dyDescent="0.55000000000000004">
      <c r="A46" s="9" t="s">
        <v>242</v>
      </c>
      <c r="B46" s="9" t="s">
        <v>52</v>
      </c>
      <c r="C46" s="9" t="s">
        <v>12</v>
      </c>
      <c r="D46" s="10">
        <v>68</v>
      </c>
      <c r="E46" s="9" t="s">
        <v>66</v>
      </c>
      <c r="F46" s="11">
        <v>150.35454545454542</v>
      </c>
      <c r="G46" s="11">
        <v>165.39</v>
      </c>
      <c r="H46" s="12">
        <f>_xlfn.XLOOKUP(B46,'[1]Raw Data Sales'!$B:$B,'[1]Raw Data Sales'!$G:$G,0)</f>
        <v>46539</v>
      </c>
      <c r="I46" s="13">
        <f t="shared" ca="1" si="0"/>
        <v>470</v>
      </c>
      <c r="J46" s="9" t="str">
        <f>_xlfn.XLOOKUP('Item Inventory'!C46,Table1[Category],Table1[ABC_Class],0)</f>
        <v>A</v>
      </c>
      <c r="K46" s="9" t="str">
        <f>_xlfn.XLOOKUP(C46,Table1[Category],Table1[FSN_Class],0)</f>
        <v>F</v>
      </c>
    </row>
    <row r="47" spans="1:11" ht="25.5" x14ac:dyDescent="0.55000000000000004">
      <c r="A47" s="9" t="s">
        <v>243</v>
      </c>
      <c r="B47" s="9" t="s">
        <v>103</v>
      </c>
      <c r="C47" s="9" t="s">
        <v>47</v>
      </c>
      <c r="D47" s="10">
        <v>34</v>
      </c>
      <c r="E47" s="9" t="s">
        <v>151</v>
      </c>
      <c r="F47" s="11">
        <v>91.554545454545448</v>
      </c>
      <c r="G47" s="11">
        <v>100.71</v>
      </c>
      <c r="H47" s="12">
        <f>_xlfn.XLOOKUP(B47,'[1]Raw Data Sales'!$B:$B,'[1]Raw Data Sales'!$G:$G,0)</f>
        <v>46569</v>
      </c>
      <c r="I47" s="13">
        <f t="shared" ca="1" si="0"/>
        <v>500</v>
      </c>
      <c r="J47" s="9" t="str">
        <f>_xlfn.XLOOKUP('Item Inventory'!C47,Table1[Category],Table1[ABC_Class],0)</f>
        <v>B</v>
      </c>
      <c r="K47" s="9" t="str">
        <f>_xlfn.XLOOKUP(C47,Table1[Category],Table1[FSN_Class],0)</f>
        <v>F</v>
      </c>
    </row>
    <row r="48" spans="1:11" ht="25.5" x14ac:dyDescent="0.55000000000000004">
      <c r="A48" s="9" t="s">
        <v>244</v>
      </c>
      <c r="B48" s="9" t="s">
        <v>10</v>
      </c>
      <c r="C48" s="9" t="s">
        <v>14</v>
      </c>
      <c r="D48" s="10">
        <v>80</v>
      </c>
      <c r="E48" s="9" t="s">
        <v>18</v>
      </c>
      <c r="F48" s="11">
        <v>426.5</v>
      </c>
      <c r="G48" s="11">
        <v>469.15</v>
      </c>
      <c r="H48" s="12">
        <f>_xlfn.XLOOKUP(B48,'[1]Raw Data Sales'!$B:$B,'[1]Raw Data Sales'!$G:$G,0)</f>
        <v>46539</v>
      </c>
      <c r="I48" s="13">
        <f t="shared" ca="1" si="0"/>
        <v>470</v>
      </c>
      <c r="J48" s="9" t="str">
        <f>_xlfn.XLOOKUP('Item Inventory'!C48,Table1[Category],Table1[ABC_Class],0)</f>
        <v>A</v>
      </c>
      <c r="K48" s="9" t="str">
        <f>_xlfn.XLOOKUP(C48,Table1[Category],Table1[FSN_Class],0)</f>
        <v>F</v>
      </c>
    </row>
    <row r="49" spans="1:11" ht="25.5" x14ac:dyDescent="0.55000000000000004">
      <c r="A49" s="9" t="s">
        <v>245</v>
      </c>
      <c r="B49" s="9" t="s">
        <v>53</v>
      </c>
      <c r="C49" s="9" t="s">
        <v>14</v>
      </c>
      <c r="D49" s="10">
        <v>71</v>
      </c>
      <c r="E49" s="9" t="s">
        <v>66</v>
      </c>
      <c r="F49" s="11">
        <v>146.1</v>
      </c>
      <c r="G49" s="11">
        <v>160.71</v>
      </c>
      <c r="H49" s="12">
        <f>_xlfn.XLOOKUP(B49,'[1]Raw Data Sales'!$B:$B,'[1]Raw Data Sales'!$G:$G,0)</f>
        <v>46266</v>
      </c>
      <c r="I49" s="13">
        <f t="shared" ca="1" si="0"/>
        <v>197</v>
      </c>
      <c r="J49" s="9" t="str">
        <f>_xlfn.XLOOKUP('Item Inventory'!C49,Table1[Category],Table1[ABC_Class],0)</f>
        <v>A</v>
      </c>
      <c r="K49" s="9" t="str">
        <f>_xlfn.XLOOKUP(C49,Table1[Category],Table1[FSN_Class],0)</f>
        <v>F</v>
      </c>
    </row>
    <row r="50" spans="1:11" ht="25.5" x14ac:dyDescent="0.55000000000000004">
      <c r="A50" s="9" t="s">
        <v>437</v>
      </c>
      <c r="B50" s="9" t="s">
        <v>406</v>
      </c>
      <c r="C50" s="9" t="s">
        <v>14</v>
      </c>
      <c r="D50" s="10">
        <v>58</v>
      </c>
      <c r="E50" s="9" t="s">
        <v>416</v>
      </c>
      <c r="F50" s="15" t="s">
        <v>416</v>
      </c>
      <c r="G50" s="11">
        <v>174.5</v>
      </c>
      <c r="H50" s="14">
        <v>45748</v>
      </c>
      <c r="I50" s="13">
        <f t="shared" ca="1" si="0"/>
        <v>-321</v>
      </c>
      <c r="J50" s="9" t="str">
        <f>_xlfn.XLOOKUP('Item Inventory'!C194,Table1[Category],Table1[ABC_Class],0)</f>
        <v>A</v>
      </c>
      <c r="K50" s="9" t="str">
        <f>_xlfn.XLOOKUP(C50,Table1[Category],Table1[FSN_Class],0)</f>
        <v>F</v>
      </c>
    </row>
    <row r="51" spans="1:11" ht="25.5" x14ac:dyDescent="0.55000000000000004">
      <c r="A51" s="9" t="s">
        <v>247</v>
      </c>
      <c r="B51" s="9" t="s">
        <v>73</v>
      </c>
      <c r="C51" s="9" t="s">
        <v>14</v>
      </c>
      <c r="D51" s="10">
        <v>65</v>
      </c>
      <c r="E51" s="9" t="s">
        <v>81</v>
      </c>
      <c r="F51" s="11">
        <v>588.69090909090903</v>
      </c>
      <c r="G51" s="11">
        <v>647.55999999999995</v>
      </c>
      <c r="H51" s="14">
        <v>46357</v>
      </c>
      <c r="I51" s="13">
        <f t="shared" ca="1" si="0"/>
        <v>288</v>
      </c>
      <c r="J51" s="9" t="str">
        <f>_xlfn.XLOOKUP('Item Inventory'!C51,Table1[Category],Table1[ABC_Class],0)</f>
        <v>A</v>
      </c>
      <c r="K51" s="9" t="str">
        <f>_xlfn.XLOOKUP(C51,Table1[Category],Table1[FSN_Class],0)</f>
        <v>F</v>
      </c>
    </row>
    <row r="52" spans="1:11" ht="25.5" x14ac:dyDescent="0.55000000000000004">
      <c r="A52" s="9" t="s">
        <v>435</v>
      </c>
      <c r="B52" s="9" t="s">
        <v>378</v>
      </c>
      <c r="C52" s="9" t="s">
        <v>415</v>
      </c>
      <c r="D52" s="10">
        <v>49</v>
      </c>
      <c r="E52" s="9" t="s">
        <v>416</v>
      </c>
      <c r="F52" s="15" t="s">
        <v>416</v>
      </c>
      <c r="G52" s="11">
        <v>249</v>
      </c>
      <c r="H52" s="14">
        <v>46054</v>
      </c>
      <c r="I52" s="13">
        <f t="shared" ca="1" si="0"/>
        <v>-15</v>
      </c>
      <c r="J52" s="9" t="s">
        <v>469</v>
      </c>
      <c r="K52" s="9" t="s">
        <v>474</v>
      </c>
    </row>
    <row r="53" spans="1:11" ht="25.5" x14ac:dyDescent="0.55000000000000004">
      <c r="A53" s="9" t="s">
        <v>434</v>
      </c>
      <c r="B53" s="9" t="s">
        <v>408</v>
      </c>
      <c r="C53" s="9" t="s">
        <v>47</v>
      </c>
      <c r="D53" s="10">
        <v>49</v>
      </c>
      <c r="E53" s="9" t="s">
        <v>416</v>
      </c>
      <c r="F53" s="15" t="s">
        <v>416</v>
      </c>
      <c r="G53" s="11">
        <v>63.5</v>
      </c>
      <c r="H53" s="14">
        <v>46023</v>
      </c>
      <c r="I53" s="13">
        <f t="shared" ca="1" si="0"/>
        <v>-46</v>
      </c>
      <c r="J53" s="9" t="str">
        <f>_xlfn.XLOOKUP('Item Inventory'!C191,Table1[Category],Table1[ABC_Class],0)</f>
        <v>A</v>
      </c>
      <c r="K53" s="9" t="str">
        <f>_xlfn.XLOOKUP(C53,Table1[Category],Table1[FSN_Class],0)</f>
        <v>F</v>
      </c>
    </row>
    <row r="54" spans="1:11" ht="25.5" x14ac:dyDescent="0.55000000000000004">
      <c r="A54" s="9" t="s">
        <v>250</v>
      </c>
      <c r="B54" s="9" t="s">
        <v>54</v>
      </c>
      <c r="C54" s="9" t="s">
        <v>12</v>
      </c>
      <c r="D54" s="10">
        <v>75</v>
      </c>
      <c r="E54" s="9" t="s">
        <v>66</v>
      </c>
      <c r="F54" s="11">
        <v>182.46363636363637</v>
      </c>
      <c r="G54" s="11">
        <v>200.71</v>
      </c>
      <c r="H54" s="14">
        <v>45748</v>
      </c>
      <c r="I54" s="13">
        <f t="shared" ca="1" si="0"/>
        <v>-321</v>
      </c>
      <c r="J54" s="9" t="str">
        <f>_xlfn.XLOOKUP('Item Inventory'!C54,Table1[Category],Table1[ABC_Class],0)</f>
        <v>A</v>
      </c>
      <c r="K54" s="9" t="str">
        <f>_xlfn.XLOOKUP(C54,Table1[Category],Table1[FSN_Class],0)</f>
        <v>F</v>
      </c>
    </row>
    <row r="55" spans="1:11" ht="25.5" x14ac:dyDescent="0.55000000000000004">
      <c r="A55" s="9" t="s">
        <v>251</v>
      </c>
      <c r="B55" s="9" t="s">
        <v>55</v>
      </c>
      <c r="C55" s="9" t="s">
        <v>14</v>
      </c>
      <c r="D55" s="10">
        <v>52</v>
      </c>
      <c r="E55" s="9" t="s">
        <v>66</v>
      </c>
      <c r="F55" s="11">
        <v>459.78181818181815</v>
      </c>
      <c r="G55" s="11">
        <v>505.76</v>
      </c>
      <c r="H55" s="14">
        <v>46054</v>
      </c>
      <c r="I55" s="13">
        <f t="shared" ca="1" si="0"/>
        <v>-15</v>
      </c>
      <c r="J55" s="9" t="str">
        <f>_xlfn.XLOOKUP('Item Inventory'!C55,Table1[Category],Table1[ABC_Class],0)</f>
        <v>A</v>
      </c>
      <c r="K55" s="9" t="str">
        <f>_xlfn.XLOOKUP(C55,Table1[Category],Table1[FSN_Class],0)</f>
        <v>F</v>
      </c>
    </row>
    <row r="56" spans="1:11" ht="25.5" x14ac:dyDescent="0.55000000000000004">
      <c r="A56" s="9" t="s">
        <v>252</v>
      </c>
      <c r="B56" s="9" t="s">
        <v>104</v>
      </c>
      <c r="C56" s="9" t="s">
        <v>14</v>
      </c>
      <c r="D56" s="10">
        <v>65</v>
      </c>
      <c r="E56" s="9" t="s">
        <v>151</v>
      </c>
      <c r="F56" s="11">
        <v>155.31818181818181</v>
      </c>
      <c r="G56" s="11">
        <v>170.85</v>
      </c>
      <c r="H56" s="12">
        <f>_xlfn.XLOOKUP(B56,'[1]Raw Data Sales'!$B:$B,'[1]Raw Data Sales'!$G:$G,0)</f>
        <v>46478</v>
      </c>
      <c r="I56" s="13">
        <f t="shared" ca="1" si="0"/>
        <v>409</v>
      </c>
      <c r="J56" s="9" t="str">
        <f>_xlfn.XLOOKUP('Item Inventory'!C56,Table1[Category],Table1[ABC_Class],0)</f>
        <v>A</v>
      </c>
      <c r="K56" s="9" t="str">
        <f>_xlfn.XLOOKUP(C56,Table1[Category],Table1[FSN_Class],0)</f>
        <v>F</v>
      </c>
    </row>
    <row r="57" spans="1:11" ht="25.5" x14ac:dyDescent="0.55000000000000004">
      <c r="A57" s="9" t="s">
        <v>253</v>
      </c>
      <c r="B57" s="9" t="s">
        <v>23</v>
      </c>
      <c r="C57" s="9" t="s">
        <v>14</v>
      </c>
      <c r="D57" s="10">
        <v>44</v>
      </c>
      <c r="E57" s="9" t="s">
        <v>27</v>
      </c>
      <c r="F57" s="11">
        <v>202.24545454545452</v>
      </c>
      <c r="G57" s="11">
        <v>222.47</v>
      </c>
      <c r="H57" s="12">
        <f>_xlfn.XLOOKUP(B57,'[1]Raw Data Sales'!$B:$B,'[1]Raw Data Sales'!$G:$G,0)</f>
        <v>46419</v>
      </c>
      <c r="I57" s="13">
        <f t="shared" ca="1" si="0"/>
        <v>350</v>
      </c>
      <c r="J57" s="9" t="str">
        <f>_xlfn.XLOOKUP('Item Inventory'!C57,Table1[Category],Table1[ABC_Class],0)</f>
        <v>A</v>
      </c>
      <c r="K57" s="9" t="str">
        <f>_xlfn.XLOOKUP(C57,Table1[Category],Table1[FSN_Class],0)</f>
        <v>F</v>
      </c>
    </row>
    <row r="58" spans="1:11" ht="25.5" x14ac:dyDescent="0.55000000000000004">
      <c r="A58" s="9" t="s">
        <v>254</v>
      </c>
      <c r="B58" s="9" t="s">
        <v>105</v>
      </c>
      <c r="C58" s="9" t="s">
        <v>34</v>
      </c>
      <c r="D58" s="10">
        <v>84</v>
      </c>
      <c r="E58" s="9" t="s">
        <v>151</v>
      </c>
      <c r="F58" s="11">
        <v>227.27272727272725</v>
      </c>
      <c r="G58" s="11">
        <v>250</v>
      </c>
      <c r="H58" s="12">
        <f>_xlfn.XLOOKUP(B58,'[1]Raw Data Sales'!$B:$B,'[1]Raw Data Sales'!$G:$G,0)</f>
        <v>46508</v>
      </c>
      <c r="I58" s="13">
        <f t="shared" ca="1" si="0"/>
        <v>439</v>
      </c>
      <c r="J58" s="9" t="str">
        <f>_xlfn.XLOOKUP('Item Inventory'!C58,Table1[Category],Table1[ABC_Class],0)</f>
        <v>B</v>
      </c>
      <c r="K58" s="9" t="str">
        <f>_xlfn.XLOOKUP(C58,Table1[Category],Table1[FSN_Class],0)</f>
        <v>S</v>
      </c>
    </row>
    <row r="59" spans="1:11" ht="25.5" x14ac:dyDescent="0.55000000000000004">
      <c r="A59" s="9" t="s">
        <v>255</v>
      </c>
      <c r="B59" s="9" t="s">
        <v>38</v>
      </c>
      <c r="C59" s="9" t="s">
        <v>39</v>
      </c>
      <c r="D59" s="10">
        <v>50</v>
      </c>
      <c r="E59" s="9" t="s">
        <v>66</v>
      </c>
      <c r="F59" s="11">
        <v>21.499999999999996</v>
      </c>
      <c r="G59" s="11">
        <v>23.65</v>
      </c>
      <c r="H59" s="12">
        <f>_xlfn.XLOOKUP(B59,'[1]Raw Data Sales'!$B:$B,'[1]Raw Data Sales'!$G:$G,0)</f>
        <v>46204</v>
      </c>
      <c r="I59" s="13">
        <f t="shared" ca="1" si="0"/>
        <v>135</v>
      </c>
      <c r="J59" s="9" t="str">
        <f>_xlfn.XLOOKUP('Item Inventory'!C59,Table1[Category],Table1[ABC_Class],0)</f>
        <v>C</v>
      </c>
      <c r="K59" s="9" t="str">
        <f>_xlfn.XLOOKUP(C59,Table1[Category],Table1[FSN_Class],0)</f>
        <v>S</v>
      </c>
    </row>
    <row r="60" spans="1:11" ht="25.5" x14ac:dyDescent="0.55000000000000004">
      <c r="A60" s="9" t="s">
        <v>256</v>
      </c>
      <c r="B60" s="9" t="s">
        <v>40</v>
      </c>
      <c r="C60" s="9" t="s">
        <v>41</v>
      </c>
      <c r="D60" s="10">
        <v>90</v>
      </c>
      <c r="E60" s="9" t="s">
        <v>66</v>
      </c>
      <c r="F60" s="11">
        <v>74.345454545454544</v>
      </c>
      <c r="G60" s="11">
        <v>81.78</v>
      </c>
      <c r="H60" s="12">
        <f>_xlfn.XLOOKUP(B60,'[1]Raw Data Sales'!$B:$B,'[1]Raw Data Sales'!$G:$G,0)</f>
        <v>46508</v>
      </c>
      <c r="I60" s="13">
        <f t="shared" ca="1" si="0"/>
        <v>439</v>
      </c>
      <c r="J60" s="9" t="str">
        <f>_xlfn.XLOOKUP('Item Inventory'!C60,Table1[Category],Table1[ABC_Class],0)</f>
        <v>A</v>
      </c>
      <c r="K60" s="9" t="str">
        <f>_xlfn.XLOOKUP(C60,Table1[Category],Table1[FSN_Class],0)</f>
        <v>S</v>
      </c>
    </row>
    <row r="61" spans="1:11" ht="25.5" x14ac:dyDescent="0.55000000000000004">
      <c r="A61" s="9" t="s">
        <v>257</v>
      </c>
      <c r="B61" s="9" t="s">
        <v>40</v>
      </c>
      <c r="C61" s="9" t="s">
        <v>161</v>
      </c>
      <c r="D61" s="10">
        <v>53</v>
      </c>
      <c r="E61" s="9" t="s">
        <v>192</v>
      </c>
      <c r="F61" s="11">
        <v>74.354545454545459</v>
      </c>
      <c r="G61" s="11">
        <v>81.790000000000006</v>
      </c>
      <c r="H61" s="12">
        <f>_xlfn.XLOOKUP(B61,'[1]Raw Data Sales'!$B:$B,'[1]Raw Data Sales'!$G:$G,0)</f>
        <v>46508</v>
      </c>
      <c r="I61" s="13">
        <f t="shared" ca="1" si="0"/>
        <v>439</v>
      </c>
      <c r="J61" s="9" t="str">
        <f>_xlfn.XLOOKUP('Item Inventory'!C61,Table1[Category],Table1[ABC_Class],0)</f>
        <v>C</v>
      </c>
      <c r="K61" s="9" t="str">
        <f>_xlfn.XLOOKUP(C61,Table1[Category],Table1[FSN_Class],0)</f>
        <v>N</v>
      </c>
    </row>
    <row r="62" spans="1:11" ht="25.5" x14ac:dyDescent="0.55000000000000004">
      <c r="A62" s="9" t="s">
        <v>258</v>
      </c>
      <c r="B62" s="9" t="s">
        <v>162</v>
      </c>
      <c r="C62" s="9" t="s">
        <v>12</v>
      </c>
      <c r="D62" s="10">
        <v>73</v>
      </c>
      <c r="E62" s="9" t="s">
        <v>192</v>
      </c>
      <c r="F62" s="11">
        <v>334.41818181818178</v>
      </c>
      <c r="G62" s="11">
        <v>367.86</v>
      </c>
      <c r="H62" s="12">
        <f>_xlfn.XLOOKUP(B62,'[1]Raw Data Sales'!$B:$B,'[1]Raw Data Sales'!$G:$G,0)</f>
        <v>46419</v>
      </c>
      <c r="I62" s="13">
        <f t="shared" ca="1" si="0"/>
        <v>350</v>
      </c>
      <c r="J62" s="9" t="str">
        <f>_xlfn.XLOOKUP('Item Inventory'!C62,Table1[Category],Table1[ABC_Class],0)</f>
        <v>A</v>
      </c>
      <c r="K62" s="9" t="str">
        <f>_xlfn.XLOOKUP(C62,Table1[Category],Table1[FSN_Class],0)</f>
        <v>F</v>
      </c>
    </row>
    <row r="63" spans="1:11" ht="25.5" x14ac:dyDescent="0.55000000000000004">
      <c r="A63" s="9" t="s">
        <v>259</v>
      </c>
      <c r="B63" s="9" t="s">
        <v>74</v>
      </c>
      <c r="C63" s="9" t="s">
        <v>12</v>
      </c>
      <c r="D63" s="10">
        <v>94</v>
      </c>
      <c r="E63" s="9" t="s">
        <v>81</v>
      </c>
      <c r="F63" s="11">
        <v>373.99999999999994</v>
      </c>
      <c r="G63" s="11">
        <v>411.4</v>
      </c>
      <c r="H63" s="12">
        <f>_xlfn.XLOOKUP(B63,'[1]Raw Data Sales'!$B:$B,'[1]Raw Data Sales'!$G:$G,0)</f>
        <v>46508</v>
      </c>
      <c r="I63" s="13">
        <f t="shared" ca="1" si="0"/>
        <v>439</v>
      </c>
      <c r="J63" s="9" t="str">
        <f>_xlfn.XLOOKUP('Item Inventory'!C63,Table1[Category],Table1[ABC_Class],0)</f>
        <v>A</v>
      </c>
      <c r="K63" s="9" t="str">
        <f>_xlfn.XLOOKUP(C63,Table1[Category],Table1[FSN_Class],0)</f>
        <v>F</v>
      </c>
    </row>
    <row r="64" spans="1:11" ht="25.5" x14ac:dyDescent="0.55000000000000004">
      <c r="A64" s="9" t="s">
        <v>260</v>
      </c>
      <c r="B64" s="9" t="s">
        <v>106</v>
      </c>
      <c r="C64" s="9" t="s">
        <v>47</v>
      </c>
      <c r="D64" s="10">
        <v>69</v>
      </c>
      <c r="E64" s="9" t="s">
        <v>151</v>
      </c>
      <c r="F64" s="11">
        <v>35.627272727272725</v>
      </c>
      <c r="G64" s="11">
        <v>39.19</v>
      </c>
      <c r="H64" s="12">
        <f>_xlfn.XLOOKUP(B64,'[1]Raw Data Sales'!$B:$B,'[1]Raw Data Sales'!$G:$G,0)</f>
        <v>46569</v>
      </c>
      <c r="I64" s="13">
        <f t="shared" ca="1" si="0"/>
        <v>500</v>
      </c>
      <c r="J64" s="9" t="str">
        <f>_xlfn.XLOOKUP('Item Inventory'!C64,Table1[Category],Table1[ABC_Class],0)</f>
        <v>B</v>
      </c>
      <c r="K64" s="9" t="str">
        <f>_xlfn.XLOOKUP(C64,Table1[Category],Table1[FSN_Class],0)</f>
        <v>F</v>
      </c>
    </row>
    <row r="65" spans="1:11" ht="25.5" x14ac:dyDescent="0.55000000000000004">
      <c r="A65" s="9" t="s">
        <v>261</v>
      </c>
      <c r="B65" s="9" t="s">
        <v>107</v>
      </c>
      <c r="C65" s="9" t="s">
        <v>43</v>
      </c>
      <c r="D65" s="10">
        <v>25</v>
      </c>
      <c r="E65" s="9" t="s">
        <v>151</v>
      </c>
      <c r="F65" s="11">
        <v>15.963636363636361</v>
      </c>
      <c r="G65" s="11">
        <v>17.559999999999999</v>
      </c>
      <c r="H65" s="12">
        <f>_xlfn.XLOOKUP(B65,'[1]Raw Data Sales'!$B:$B,'[1]Raw Data Sales'!$G:$G,0)</f>
        <v>46539</v>
      </c>
      <c r="I65" s="13">
        <f t="shared" ca="1" si="0"/>
        <v>470</v>
      </c>
      <c r="J65" s="9" t="str">
        <f>_xlfn.XLOOKUP('Item Inventory'!C65,Table1[Category],Table1[ABC_Class],0)</f>
        <v>A</v>
      </c>
      <c r="K65" s="9" t="str">
        <f>_xlfn.XLOOKUP(C65,Table1[Category],Table1[FSN_Class],0)</f>
        <v>F</v>
      </c>
    </row>
    <row r="66" spans="1:11" ht="25.5" x14ac:dyDescent="0.55000000000000004">
      <c r="A66" s="9" t="s">
        <v>262</v>
      </c>
      <c r="B66" s="9" t="s">
        <v>108</v>
      </c>
      <c r="C66" s="9" t="s">
        <v>43</v>
      </c>
      <c r="D66" s="10">
        <v>34</v>
      </c>
      <c r="E66" s="9" t="s">
        <v>151</v>
      </c>
      <c r="F66" s="11">
        <v>116.94545454545452</v>
      </c>
      <c r="G66" s="11">
        <v>128.63999999999999</v>
      </c>
      <c r="H66" s="12">
        <f>_xlfn.XLOOKUP(B66,'[1]Raw Data Sales'!$B:$B,'[1]Raw Data Sales'!$G:$G,0)</f>
        <v>46357</v>
      </c>
      <c r="I66" s="13">
        <f t="shared" ca="1" si="0"/>
        <v>288</v>
      </c>
      <c r="J66" s="9" t="str">
        <f>_xlfn.XLOOKUP('Item Inventory'!C66,Table1[Category],Table1[ABC_Class],0)</f>
        <v>A</v>
      </c>
      <c r="K66" s="9" t="str">
        <f>_xlfn.XLOOKUP(C66,Table1[Category],Table1[FSN_Class],0)</f>
        <v>F</v>
      </c>
    </row>
    <row r="67" spans="1:11" ht="25.5" x14ac:dyDescent="0.55000000000000004">
      <c r="A67" s="9" t="s">
        <v>263</v>
      </c>
      <c r="B67" s="9" t="s">
        <v>109</v>
      </c>
      <c r="C67" s="9" t="s">
        <v>14</v>
      </c>
      <c r="D67" s="10">
        <v>94</v>
      </c>
      <c r="E67" s="9" t="s">
        <v>151</v>
      </c>
      <c r="F67" s="11">
        <v>246.75454545454545</v>
      </c>
      <c r="G67" s="11">
        <v>271.43</v>
      </c>
      <c r="H67" s="12">
        <f>_xlfn.XLOOKUP(B67,'[1]Raw Data Sales'!$B:$B,'[1]Raw Data Sales'!$G:$G,0)</f>
        <v>46478</v>
      </c>
      <c r="I67" s="13">
        <f t="shared" ca="1" si="0"/>
        <v>409</v>
      </c>
      <c r="J67" s="9" t="str">
        <f>_xlfn.XLOOKUP('Item Inventory'!C67,Table1[Category],Table1[ABC_Class],0)</f>
        <v>A</v>
      </c>
      <c r="K67" s="9" t="str">
        <f>_xlfn.XLOOKUP(C67,Table1[Category],Table1[FSN_Class],0)</f>
        <v>F</v>
      </c>
    </row>
    <row r="68" spans="1:11" ht="25.5" x14ac:dyDescent="0.55000000000000004">
      <c r="A68" s="9" t="s">
        <v>264</v>
      </c>
      <c r="B68" s="9" t="s">
        <v>110</v>
      </c>
      <c r="C68" s="9" t="s">
        <v>47</v>
      </c>
      <c r="D68" s="10">
        <v>100</v>
      </c>
      <c r="E68" s="9" t="s">
        <v>151</v>
      </c>
      <c r="F68" s="11">
        <v>64.281818181818167</v>
      </c>
      <c r="G68" s="11">
        <v>70.709999999999994</v>
      </c>
      <c r="H68" s="12">
        <f>_xlfn.XLOOKUP(B68,'[1]Raw Data Sales'!$B:$B,'[1]Raw Data Sales'!$G:$G,0)</f>
        <v>46844</v>
      </c>
      <c r="I68" s="13">
        <f t="shared" ref="I68:I131" ca="1" si="1">H68-TODAY()</f>
        <v>775</v>
      </c>
      <c r="J68" s="9" t="str">
        <f>_xlfn.XLOOKUP('Item Inventory'!C68,Table1[Category],Table1[ABC_Class],0)</f>
        <v>B</v>
      </c>
      <c r="K68" s="9" t="str">
        <f>_xlfn.XLOOKUP(C68,Table1[Category],Table1[FSN_Class],0)</f>
        <v>F</v>
      </c>
    </row>
    <row r="69" spans="1:11" ht="25.5" x14ac:dyDescent="0.55000000000000004">
      <c r="A69" s="9" t="s">
        <v>265</v>
      </c>
      <c r="B69" s="9" t="s">
        <v>111</v>
      </c>
      <c r="C69" s="9" t="s">
        <v>14</v>
      </c>
      <c r="D69" s="10">
        <v>27</v>
      </c>
      <c r="E69" s="9" t="s">
        <v>151</v>
      </c>
      <c r="F69" s="11">
        <v>323.58181818181816</v>
      </c>
      <c r="G69" s="11">
        <v>355.94</v>
      </c>
      <c r="H69" s="12">
        <f>_xlfn.XLOOKUP(B69,'[1]Raw Data Sales'!$B:$B,'[1]Raw Data Sales'!$G:$G,0)</f>
        <v>46478</v>
      </c>
      <c r="I69" s="13">
        <f t="shared" ca="1" si="1"/>
        <v>409</v>
      </c>
      <c r="J69" s="9" t="str">
        <f>_xlfn.XLOOKUP('Item Inventory'!C69,Table1[Category],Table1[ABC_Class],0)</f>
        <v>A</v>
      </c>
      <c r="K69" s="9" t="str">
        <f>_xlfn.XLOOKUP(C69,Table1[Category],Table1[FSN_Class],0)</f>
        <v>F</v>
      </c>
    </row>
    <row r="70" spans="1:11" ht="25.5" x14ac:dyDescent="0.55000000000000004">
      <c r="A70" s="9" t="s">
        <v>266</v>
      </c>
      <c r="B70" s="9" t="s">
        <v>163</v>
      </c>
      <c r="C70" s="9" t="s">
        <v>14</v>
      </c>
      <c r="D70" s="10">
        <v>48</v>
      </c>
      <c r="E70" s="9" t="s">
        <v>192</v>
      </c>
      <c r="F70" s="11">
        <v>148.22727272727272</v>
      </c>
      <c r="G70" s="11">
        <v>163.05000000000001</v>
      </c>
      <c r="H70" s="12">
        <f>_xlfn.XLOOKUP(B70,'[1]Raw Data Sales'!$B:$B,'[1]Raw Data Sales'!$G:$G,0)</f>
        <v>46569</v>
      </c>
      <c r="I70" s="13">
        <f t="shared" ca="1" si="1"/>
        <v>500</v>
      </c>
      <c r="J70" s="9" t="str">
        <f>_xlfn.XLOOKUP('Item Inventory'!C70,Table1[Category],Table1[ABC_Class],0)</f>
        <v>A</v>
      </c>
      <c r="K70" s="9" t="str">
        <f>_xlfn.XLOOKUP(C70,Table1[Category],Table1[FSN_Class],0)</f>
        <v>F</v>
      </c>
    </row>
    <row r="71" spans="1:11" ht="25.5" x14ac:dyDescent="0.55000000000000004">
      <c r="A71" s="9" t="s">
        <v>267</v>
      </c>
      <c r="B71" s="9" t="s">
        <v>164</v>
      </c>
      <c r="C71" s="9" t="s">
        <v>14</v>
      </c>
      <c r="D71" s="10">
        <v>27</v>
      </c>
      <c r="E71" s="9" t="s">
        <v>192</v>
      </c>
      <c r="F71" s="11">
        <v>345.76363636363629</v>
      </c>
      <c r="G71" s="11">
        <v>380.34</v>
      </c>
      <c r="H71" s="12">
        <f>_xlfn.XLOOKUP(B71,'[1]Raw Data Sales'!$B:$B,'[1]Raw Data Sales'!$G:$G,0)</f>
        <v>46419</v>
      </c>
      <c r="I71" s="13">
        <f t="shared" ca="1" si="1"/>
        <v>350</v>
      </c>
      <c r="J71" s="9" t="str">
        <f>_xlfn.XLOOKUP('Item Inventory'!C71,Table1[Category],Table1[ABC_Class],0)</f>
        <v>A</v>
      </c>
      <c r="K71" s="9" t="str">
        <f>_xlfn.XLOOKUP(C71,Table1[Category],Table1[FSN_Class],0)</f>
        <v>F</v>
      </c>
    </row>
    <row r="72" spans="1:11" ht="25.5" x14ac:dyDescent="0.55000000000000004">
      <c r="A72" s="9" t="s">
        <v>268</v>
      </c>
      <c r="B72" s="9" t="s">
        <v>56</v>
      </c>
      <c r="C72" s="9" t="s">
        <v>14</v>
      </c>
      <c r="D72" s="10">
        <v>54</v>
      </c>
      <c r="E72" s="9" t="s">
        <v>66</v>
      </c>
      <c r="F72" s="11">
        <v>1085.1363636363637</v>
      </c>
      <c r="G72" s="11">
        <v>1193.6500000000001</v>
      </c>
      <c r="H72" s="12">
        <f>_xlfn.XLOOKUP(B72,'[1]Raw Data Sales'!$B:$B,'[1]Raw Data Sales'!$G:$G,0)</f>
        <v>46447</v>
      </c>
      <c r="I72" s="13">
        <f t="shared" ca="1" si="1"/>
        <v>378</v>
      </c>
      <c r="J72" s="9" t="str">
        <f>_xlfn.XLOOKUP('Item Inventory'!C72,Table1[Category],Table1[ABC_Class],0)</f>
        <v>A</v>
      </c>
      <c r="K72" s="9" t="str">
        <f>_xlfn.XLOOKUP(C72,Table1[Category],Table1[FSN_Class],0)</f>
        <v>F</v>
      </c>
    </row>
    <row r="73" spans="1:11" ht="25.5" x14ac:dyDescent="0.55000000000000004">
      <c r="A73" s="9" t="s">
        <v>269</v>
      </c>
      <c r="B73" s="9" t="s">
        <v>112</v>
      </c>
      <c r="C73" s="9" t="s">
        <v>12</v>
      </c>
      <c r="D73" s="10">
        <v>20</v>
      </c>
      <c r="E73" s="9" t="s">
        <v>151</v>
      </c>
      <c r="F73" s="11">
        <v>79.218181818181819</v>
      </c>
      <c r="G73" s="11">
        <v>87.14</v>
      </c>
      <c r="H73" s="12">
        <f>_xlfn.XLOOKUP(B73,'[1]Raw Data Sales'!$B:$B,'[1]Raw Data Sales'!$G:$G,0)</f>
        <v>46204</v>
      </c>
      <c r="I73" s="13">
        <f t="shared" ca="1" si="1"/>
        <v>135</v>
      </c>
      <c r="J73" s="9" t="str">
        <f>_xlfn.XLOOKUP('Item Inventory'!C73,Table1[Category],Table1[ABC_Class],0)</f>
        <v>A</v>
      </c>
      <c r="K73" s="9" t="str">
        <f>_xlfn.XLOOKUP(C73,Table1[Category],Table1[FSN_Class],0)</f>
        <v>F</v>
      </c>
    </row>
    <row r="74" spans="1:11" ht="25.5" x14ac:dyDescent="0.55000000000000004">
      <c r="A74" s="9" t="s">
        <v>432</v>
      </c>
      <c r="B74" s="9" t="s">
        <v>385</v>
      </c>
      <c r="C74" s="9" t="s">
        <v>13</v>
      </c>
      <c r="D74" s="10">
        <v>24</v>
      </c>
      <c r="E74" s="9" t="s">
        <v>416</v>
      </c>
      <c r="F74" s="15" t="s">
        <v>416</v>
      </c>
      <c r="G74" s="11">
        <v>850</v>
      </c>
      <c r="H74" s="14">
        <v>46235</v>
      </c>
      <c r="I74" s="13">
        <f t="shared" ca="1" si="1"/>
        <v>166</v>
      </c>
      <c r="J74" s="9" t="s">
        <v>468</v>
      </c>
      <c r="K74" s="9" t="str">
        <f>_xlfn.XLOOKUP(C74,Table1[Category],Table1[FSN_Class],0)</f>
        <v>N</v>
      </c>
    </row>
    <row r="75" spans="1:11" ht="25.5" x14ac:dyDescent="0.55000000000000004">
      <c r="A75" s="9" t="s">
        <v>271</v>
      </c>
      <c r="B75" s="9" t="s">
        <v>165</v>
      </c>
      <c r="C75" s="9" t="s">
        <v>12</v>
      </c>
      <c r="D75" s="10">
        <v>39</v>
      </c>
      <c r="E75" s="9" t="s">
        <v>192</v>
      </c>
      <c r="F75" s="11">
        <v>224.0272727272727</v>
      </c>
      <c r="G75" s="11">
        <v>246.43</v>
      </c>
      <c r="H75" s="12">
        <f>_xlfn.XLOOKUP(B75,'[1]Raw Data Sales'!$B:$B,'[1]Raw Data Sales'!$G:$G,0)</f>
        <v>46478</v>
      </c>
      <c r="I75" s="13">
        <f t="shared" ca="1" si="1"/>
        <v>409</v>
      </c>
      <c r="J75" s="9" t="str">
        <f>_xlfn.XLOOKUP('Item Inventory'!C75,Table1[Category],Table1[ABC_Class],0)</f>
        <v>A</v>
      </c>
      <c r="K75" s="9" t="str">
        <f>_xlfn.XLOOKUP(C75,Table1[Category],Table1[FSN_Class],0)</f>
        <v>F</v>
      </c>
    </row>
    <row r="76" spans="1:11" ht="25.5" x14ac:dyDescent="0.55000000000000004">
      <c r="A76" s="9" t="s">
        <v>272</v>
      </c>
      <c r="B76" s="9" t="s">
        <v>24</v>
      </c>
      <c r="C76" s="9" t="s">
        <v>14</v>
      </c>
      <c r="D76" s="10">
        <v>38</v>
      </c>
      <c r="E76" s="9" t="s">
        <v>27</v>
      </c>
      <c r="F76" s="11">
        <v>78.272727272727266</v>
      </c>
      <c r="G76" s="11">
        <v>86.1</v>
      </c>
      <c r="H76" s="12">
        <f>_xlfn.XLOOKUP(B76,'[1]Raw Data Sales'!$B:$B,'[1]Raw Data Sales'!$G:$G,0)</f>
        <v>46874</v>
      </c>
      <c r="I76" s="13">
        <f t="shared" ca="1" si="1"/>
        <v>805</v>
      </c>
      <c r="J76" s="9" t="str">
        <f>_xlfn.XLOOKUP('Item Inventory'!C76,Table1[Category],Table1[ABC_Class],0)</f>
        <v>A</v>
      </c>
      <c r="K76" s="9" t="str">
        <f>_xlfn.XLOOKUP(C76,Table1[Category],Table1[FSN_Class],0)</f>
        <v>F</v>
      </c>
    </row>
    <row r="77" spans="1:11" ht="25.5" x14ac:dyDescent="0.55000000000000004">
      <c r="A77" s="9" t="s">
        <v>429</v>
      </c>
      <c r="B77" s="9" t="s">
        <v>395</v>
      </c>
      <c r="C77" s="9" t="s">
        <v>415</v>
      </c>
      <c r="D77" s="10">
        <v>57</v>
      </c>
      <c r="E77" s="9" t="s">
        <v>416</v>
      </c>
      <c r="F77" s="15" t="s">
        <v>416</v>
      </c>
      <c r="G77" s="11">
        <v>13.55</v>
      </c>
      <c r="H77" s="14">
        <v>46113</v>
      </c>
      <c r="I77" s="13">
        <f t="shared" ca="1" si="1"/>
        <v>44</v>
      </c>
      <c r="J77" s="9" t="s">
        <v>469</v>
      </c>
      <c r="K77" s="9" t="s">
        <v>474</v>
      </c>
    </row>
    <row r="78" spans="1:11" ht="25.5" x14ac:dyDescent="0.55000000000000004">
      <c r="A78" s="9" t="s">
        <v>274</v>
      </c>
      <c r="B78" s="9" t="s">
        <v>113</v>
      </c>
      <c r="C78" s="9" t="s">
        <v>41</v>
      </c>
      <c r="D78" s="10">
        <v>100</v>
      </c>
      <c r="E78" s="9" t="s">
        <v>151</v>
      </c>
      <c r="F78" s="11">
        <v>246.42727272727271</v>
      </c>
      <c r="G78" s="11">
        <v>271.07</v>
      </c>
      <c r="H78" s="12">
        <f>_xlfn.XLOOKUP(B78,'[1]Raw Data Sales'!$B:$B,'[1]Raw Data Sales'!$G:$G,0)</f>
        <v>46539</v>
      </c>
      <c r="I78" s="13">
        <f t="shared" ca="1" si="1"/>
        <v>470</v>
      </c>
      <c r="J78" s="9" t="str">
        <f>_xlfn.XLOOKUP('Item Inventory'!C78,Table1[Category],Table1[ABC_Class],0)</f>
        <v>A</v>
      </c>
      <c r="K78" s="9" t="str">
        <f>_xlfn.XLOOKUP(C78,Table1[Category],Table1[FSN_Class],0)</f>
        <v>S</v>
      </c>
    </row>
    <row r="79" spans="1:11" ht="25.5" x14ac:dyDescent="0.55000000000000004">
      <c r="A79" s="9" t="s">
        <v>275</v>
      </c>
      <c r="B79" s="9" t="s">
        <v>114</v>
      </c>
      <c r="C79" s="9" t="s">
        <v>94</v>
      </c>
      <c r="D79" s="10">
        <v>85</v>
      </c>
      <c r="E79" s="9" t="s">
        <v>151</v>
      </c>
      <c r="F79" s="11">
        <v>105.97272727272725</v>
      </c>
      <c r="G79" s="11">
        <v>116.57</v>
      </c>
      <c r="H79" s="12">
        <f>_xlfn.XLOOKUP(B79,'[1]Raw Data Sales'!$B:$B,'[1]Raw Data Sales'!$G:$G,0)</f>
        <v>46844</v>
      </c>
      <c r="I79" s="13">
        <f t="shared" ca="1" si="1"/>
        <v>775</v>
      </c>
      <c r="J79" s="9" t="str">
        <f>_xlfn.XLOOKUP('Item Inventory'!C79,Table1[Category],Table1[ABC_Class],0)</f>
        <v>C</v>
      </c>
      <c r="K79" s="9" t="str">
        <f>_xlfn.XLOOKUP(C79,Table1[Category],Table1[FSN_Class],0)</f>
        <v>N</v>
      </c>
    </row>
    <row r="80" spans="1:11" ht="25.5" x14ac:dyDescent="0.55000000000000004">
      <c r="A80" s="9" t="s">
        <v>276</v>
      </c>
      <c r="B80" s="9" t="s">
        <v>166</v>
      </c>
      <c r="C80" s="9" t="s">
        <v>14</v>
      </c>
      <c r="D80" s="10">
        <v>44</v>
      </c>
      <c r="E80" s="9" t="s">
        <v>192</v>
      </c>
      <c r="F80" s="11">
        <v>97.399999999999991</v>
      </c>
      <c r="G80" s="11">
        <v>107.14</v>
      </c>
      <c r="H80" s="12">
        <f>_xlfn.XLOOKUP(B80,'[1]Raw Data Sales'!$B:$B,'[1]Raw Data Sales'!$G:$G,0)</f>
        <v>46478</v>
      </c>
      <c r="I80" s="13">
        <f t="shared" ca="1" si="1"/>
        <v>409</v>
      </c>
      <c r="J80" s="9" t="str">
        <f>_xlfn.XLOOKUP('Item Inventory'!C80,Table1[Category],Table1[ABC_Class],0)</f>
        <v>A</v>
      </c>
      <c r="K80" s="9" t="str">
        <f>_xlfn.XLOOKUP(C80,Table1[Category],Table1[FSN_Class],0)</f>
        <v>F</v>
      </c>
    </row>
    <row r="81" spans="1:11" ht="25.5" x14ac:dyDescent="0.55000000000000004">
      <c r="A81" s="9" t="s">
        <v>277</v>
      </c>
      <c r="B81" s="9" t="s">
        <v>115</v>
      </c>
      <c r="C81" s="9" t="s">
        <v>17</v>
      </c>
      <c r="D81" s="10">
        <v>41</v>
      </c>
      <c r="E81" s="9" t="s">
        <v>151</v>
      </c>
      <c r="F81" s="11">
        <v>53.245454545454542</v>
      </c>
      <c r="G81" s="11">
        <v>58.57</v>
      </c>
      <c r="H81" s="12">
        <f>_xlfn.XLOOKUP(B81,'[1]Raw Data Sales'!$B:$B,'[1]Raw Data Sales'!$G:$G,0)</f>
        <v>46478</v>
      </c>
      <c r="I81" s="13">
        <f t="shared" ca="1" si="1"/>
        <v>409</v>
      </c>
      <c r="J81" s="9" t="str">
        <f>_xlfn.XLOOKUP('Item Inventory'!C81,Table1[Category],Table1[ABC_Class],0)</f>
        <v>C</v>
      </c>
      <c r="K81" s="9" t="str">
        <f>_xlfn.XLOOKUP(C81,Table1[Category],Table1[FSN_Class],0)</f>
        <v>N</v>
      </c>
    </row>
    <row r="82" spans="1:11" ht="25.5" x14ac:dyDescent="0.55000000000000004">
      <c r="A82" s="9" t="s">
        <v>428</v>
      </c>
      <c r="B82" s="9" t="s">
        <v>382</v>
      </c>
      <c r="C82" s="9" t="s">
        <v>64</v>
      </c>
      <c r="D82" s="10">
        <v>36</v>
      </c>
      <c r="E82" s="9" t="s">
        <v>416</v>
      </c>
      <c r="F82" s="15" t="s">
        <v>416</v>
      </c>
      <c r="G82" s="11">
        <v>133.75</v>
      </c>
      <c r="H82" s="14">
        <v>47088</v>
      </c>
      <c r="I82" s="13">
        <f t="shared" ca="1" si="1"/>
        <v>1019</v>
      </c>
      <c r="J82" s="9" t="str">
        <f>_xlfn.XLOOKUP('Item Inventory'!C185,Table1[Category],Table1[ABC_Class],0)</f>
        <v>A</v>
      </c>
      <c r="K82" s="9" t="str">
        <f>_xlfn.XLOOKUP(C82,Table1[Category],Table1[FSN_Class],0)</f>
        <v>N</v>
      </c>
    </row>
    <row r="83" spans="1:11" ht="25.5" x14ac:dyDescent="0.55000000000000004">
      <c r="A83" s="9" t="s">
        <v>279</v>
      </c>
      <c r="B83" s="9" t="s">
        <v>190</v>
      </c>
      <c r="C83" s="9" t="s">
        <v>14</v>
      </c>
      <c r="D83" s="10">
        <v>82</v>
      </c>
      <c r="E83" s="9" t="s">
        <v>191</v>
      </c>
      <c r="F83" s="11">
        <v>319.91818181818201</v>
      </c>
      <c r="G83" s="11">
        <v>351.91</v>
      </c>
      <c r="H83" s="12">
        <f>_xlfn.XLOOKUP(B83,'[1]Raw Data Sales'!$B:$B,'[1]Raw Data Sales'!$G:$G,0)</f>
        <v>46296</v>
      </c>
      <c r="I83" s="13">
        <f t="shared" ca="1" si="1"/>
        <v>227</v>
      </c>
      <c r="J83" s="9" t="str">
        <f>_xlfn.XLOOKUP('Item Inventory'!C83,Table1[Category],Table1[ABC_Class],0)</f>
        <v>A</v>
      </c>
      <c r="K83" s="9" t="str">
        <f>_xlfn.XLOOKUP(C83,Table1[Category],Table1[FSN_Class],0)</f>
        <v>F</v>
      </c>
    </row>
    <row r="84" spans="1:11" ht="25.5" x14ac:dyDescent="0.55000000000000004">
      <c r="A84" s="9" t="s">
        <v>424</v>
      </c>
      <c r="B84" s="9" t="s">
        <v>403</v>
      </c>
      <c r="C84" s="9" t="s">
        <v>14</v>
      </c>
      <c r="D84" s="10">
        <v>89</v>
      </c>
      <c r="E84" s="9" t="s">
        <v>416</v>
      </c>
      <c r="F84" s="15" t="s">
        <v>416</v>
      </c>
      <c r="G84" s="11">
        <v>247</v>
      </c>
      <c r="H84" s="14">
        <v>46143</v>
      </c>
      <c r="I84" s="13">
        <f t="shared" ca="1" si="1"/>
        <v>74</v>
      </c>
      <c r="J84" s="9" t="str">
        <f>_xlfn.XLOOKUP('Item Inventory'!C181,Table1[Category],Table1[ABC_Class],0)</f>
        <v>B</v>
      </c>
      <c r="K84" s="9" t="str">
        <f>_xlfn.XLOOKUP(C84,Table1[Category],Table1[FSN_Class],0)</f>
        <v>F</v>
      </c>
    </row>
    <row r="85" spans="1:11" ht="25.5" x14ac:dyDescent="0.55000000000000004">
      <c r="A85" s="9" t="s">
        <v>281</v>
      </c>
      <c r="B85" s="9" t="s">
        <v>116</v>
      </c>
      <c r="C85" s="9" t="s">
        <v>117</v>
      </c>
      <c r="D85" s="10">
        <v>88</v>
      </c>
      <c r="E85" s="9" t="s">
        <v>151</v>
      </c>
      <c r="F85" s="11">
        <v>55.272727272727266</v>
      </c>
      <c r="G85" s="11">
        <v>60.8</v>
      </c>
      <c r="H85" s="12">
        <f>_xlfn.XLOOKUP(B85,'[1]Raw Data Sales'!$B:$B,'[1]Raw Data Sales'!$G:$G,0)</f>
        <v>46478</v>
      </c>
      <c r="I85" s="13">
        <f t="shared" ca="1" si="1"/>
        <v>409</v>
      </c>
      <c r="J85" s="9" t="str">
        <f>_xlfn.XLOOKUP('Item Inventory'!C85,Table1[Category],Table1[ABC_Class],0)</f>
        <v>B</v>
      </c>
      <c r="K85" s="9" t="str">
        <f>_xlfn.XLOOKUP(C85,Table1[Category],Table1[FSN_Class],0)</f>
        <v>S</v>
      </c>
    </row>
    <row r="86" spans="1:11" ht="25.5" x14ac:dyDescent="0.55000000000000004">
      <c r="A86" s="9" t="s">
        <v>282</v>
      </c>
      <c r="B86" s="9" t="s">
        <v>71</v>
      </c>
      <c r="C86" s="9" t="s">
        <v>14</v>
      </c>
      <c r="D86" s="10">
        <v>33</v>
      </c>
      <c r="E86" s="9" t="s">
        <v>81</v>
      </c>
      <c r="F86" s="11">
        <v>951.5454545454545</v>
      </c>
      <c r="G86" s="11">
        <v>1046.7</v>
      </c>
      <c r="H86" s="12">
        <f>_xlfn.XLOOKUP(B86,'[1]Raw Data Sales'!$B:$B,'[1]Raw Data Sales'!$G:$G,0)</f>
        <v>46327</v>
      </c>
      <c r="I86" s="13">
        <f t="shared" ca="1" si="1"/>
        <v>258</v>
      </c>
      <c r="J86" s="9" t="str">
        <f>_xlfn.XLOOKUP('Item Inventory'!C86,Table1[Category],Table1[ABC_Class],0)</f>
        <v>A</v>
      </c>
      <c r="K86" s="9" t="str">
        <f>_xlfn.XLOOKUP(C86,Table1[Category],Table1[FSN_Class],0)</f>
        <v>F</v>
      </c>
    </row>
    <row r="87" spans="1:11" ht="25.5" x14ac:dyDescent="0.55000000000000004">
      <c r="A87" s="9" t="s">
        <v>283</v>
      </c>
      <c r="B87" s="9" t="s">
        <v>167</v>
      </c>
      <c r="C87" s="9" t="s">
        <v>117</v>
      </c>
      <c r="D87" s="10">
        <v>49</v>
      </c>
      <c r="E87" s="9" t="s">
        <v>192</v>
      </c>
      <c r="F87" s="11">
        <v>60.645454545454534</v>
      </c>
      <c r="G87" s="11">
        <v>66.709999999999994</v>
      </c>
      <c r="H87" s="12">
        <f>_xlfn.XLOOKUP(B87,'[1]Raw Data Sales'!$B:$B,'[1]Raw Data Sales'!$G:$G,0)</f>
        <v>46661</v>
      </c>
      <c r="I87" s="13">
        <f t="shared" ca="1" si="1"/>
        <v>592</v>
      </c>
      <c r="J87" s="9" t="str">
        <f>_xlfn.XLOOKUP('Item Inventory'!C87,Table1[Category],Table1[ABC_Class],0)</f>
        <v>B</v>
      </c>
      <c r="K87" s="9" t="str">
        <f>_xlfn.XLOOKUP(C87,Table1[Category],Table1[FSN_Class],0)</f>
        <v>S</v>
      </c>
    </row>
    <row r="88" spans="1:11" ht="25.5" x14ac:dyDescent="0.55000000000000004">
      <c r="A88" s="9" t="s">
        <v>284</v>
      </c>
      <c r="B88" s="9" t="s">
        <v>118</v>
      </c>
      <c r="C88" s="9" t="s">
        <v>117</v>
      </c>
      <c r="D88" s="10">
        <v>50</v>
      </c>
      <c r="E88" s="9" t="s">
        <v>151</v>
      </c>
      <c r="F88" s="11">
        <v>29.072727272727271</v>
      </c>
      <c r="G88" s="11">
        <v>31.98</v>
      </c>
      <c r="H88" s="12">
        <f>_xlfn.XLOOKUP(B88,'[1]Raw Data Sales'!$B:$B,'[1]Raw Data Sales'!$G:$G,0)</f>
        <v>46844</v>
      </c>
      <c r="I88" s="13">
        <f t="shared" ca="1" si="1"/>
        <v>775</v>
      </c>
      <c r="J88" s="9" t="str">
        <f>_xlfn.XLOOKUP('Item Inventory'!C88,Table1[Category],Table1[ABC_Class],0)</f>
        <v>B</v>
      </c>
      <c r="K88" s="9" t="str">
        <f>_xlfn.XLOOKUP(C88,Table1[Category],Table1[FSN_Class],0)</f>
        <v>S</v>
      </c>
    </row>
    <row r="89" spans="1:11" ht="25.5" x14ac:dyDescent="0.55000000000000004">
      <c r="A89" s="9" t="s">
        <v>285</v>
      </c>
      <c r="B89" s="9" t="s">
        <v>168</v>
      </c>
      <c r="C89" s="9" t="s">
        <v>117</v>
      </c>
      <c r="D89" s="10">
        <v>44</v>
      </c>
      <c r="E89" s="9" t="s">
        <v>192</v>
      </c>
      <c r="F89" s="11">
        <v>108.40909090909091</v>
      </c>
      <c r="G89" s="11">
        <v>119.25</v>
      </c>
      <c r="H89" s="12">
        <f>_xlfn.XLOOKUP(B89,'[1]Raw Data Sales'!$B:$B,'[1]Raw Data Sales'!$G:$G,0)</f>
        <v>46539</v>
      </c>
      <c r="I89" s="13">
        <f t="shared" ca="1" si="1"/>
        <v>470</v>
      </c>
      <c r="J89" s="9" t="str">
        <f>_xlfn.XLOOKUP('Item Inventory'!C89,Table1[Category],Table1[ABC_Class],0)</f>
        <v>B</v>
      </c>
      <c r="K89" s="9" t="str">
        <f>_xlfn.XLOOKUP(C89,Table1[Category],Table1[FSN_Class],0)</f>
        <v>S</v>
      </c>
    </row>
    <row r="90" spans="1:11" ht="25.5" x14ac:dyDescent="0.55000000000000004">
      <c r="A90" s="9" t="s">
        <v>423</v>
      </c>
      <c r="B90" s="9" t="s">
        <v>399</v>
      </c>
      <c r="C90" s="9" t="s">
        <v>47</v>
      </c>
      <c r="D90" s="10">
        <v>94</v>
      </c>
      <c r="E90" s="9" t="s">
        <v>416</v>
      </c>
      <c r="F90" s="15" t="s">
        <v>416</v>
      </c>
      <c r="G90" s="11">
        <v>225</v>
      </c>
      <c r="H90" s="14">
        <v>46327</v>
      </c>
      <c r="I90" s="13">
        <f t="shared" ca="1" si="1"/>
        <v>258</v>
      </c>
      <c r="J90" s="9" t="str">
        <f>_xlfn.XLOOKUP('Item Inventory'!C180,Table1[Category],Table1[ABC_Class],0)</f>
        <v>B</v>
      </c>
      <c r="K90" s="9" t="str">
        <f>_xlfn.XLOOKUP(C90,Table1[Category],Table1[FSN_Class],0)</f>
        <v>F</v>
      </c>
    </row>
    <row r="91" spans="1:11" ht="25.5" x14ac:dyDescent="0.55000000000000004">
      <c r="A91" s="9" t="s">
        <v>422</v>
      </c>
      <c r="B91" s="9" t="s">
        <v>397</v>
      </c>
      <c r="C91" s="9" t="s">
        <v>415</v>
      </c>
      <c r="D91" s="10">
        <v>39</v>
      </c>
      <c r="E91" s="9" t="s">
        <v>416</v>
      </c>
      <c r="F91" s="15" t="s">
        <v>416</v>
      </c>
      <c r="G91" s="11">
        <v>126.5</v>
      </c>
      <c r="H91" s="14">
        <v>45901</v>
      </c>
      <c r="I91" s="13">
        <f t="shared" ca="1" si="1"/>
        <v>-168</v>
      </c>
      <c r="J91" s="9" t="s">
        <v>469</v>
      </c>
      <c r="K91" s="9" t="s">
        <v>474</v>
      </c>
    </row>
    <row r="92" spans="1:11" ht="25.5" x14ac:dyDescent="0.55000000000000004">
      <c r="A92" s="9" t="s">
        <v>288</v>
      </c>
      <c r="B92" s="9" t="s">
        <v>169</v>
      </c>
      <c r="C92" s="9" t="s">
        <v>39</v>
      </c>
      <c r="D92" s="10">
        <v>27</v>
      </c>
      <c r="E92" s="9" t="s">
        <v>192</v>
      </c>
      <c r="F92" s="11">
        <v>518.82727272727277</v>
      </c>
      <c r="G92" s="11">
        <v>570.71</v>
      </c>
      <c r="H92" s="12">
        <f>_xlfn.XLOOKUP(B92,'[1]Raw Data Sales'!$B:$B,'[1]Raw Data Sales'!$G:$G,0)</f>
        <v>46143</v>
      </c>
      <c r="I92" s="13">
        <f t="shared" ca="1" si="1"/>
        <v>74</v>
      </c>
      <c r="J92" s="9" t="str">
        <f>_xlfn.XLOOKUP('Item Inventory'!C92,Table1[Category],Table1[ABC_Class],0)</f>
        <v>C</v>
      </c>
      <c r="K92" s="9" t="str">
        <f>_xlfn.XLOOKUP(C92,Table1[Category],Table1[FSN_Class],0)</f>
        <v>S</v>
      </c>
    </row>
    <row r="93" spans="1:11" ht="25.5" x14ac:dyDescent="0.55000000000000004">
      <c r="A93" s="9" t="s">
        <v>289</v>
      </c>
      <c r="B93" s="9" t="s">
        <v>170</v>
      </c>
      <c r="C93" s="9" t="s">
        <v>117</v>
      </c>
      <c r="D93" s="10">
        <v>77</v>
      </c>
      <c r="E93" s="9" t="s">
        <v>192</v>
      </c>
      <c r="F93" s="11">
        <v>98.381818181818176</v>
      </c>
      <c r="G93" s="11">
        <v>108.22</v>
      </c>
      <c r="H93" s="12">
        <f>_xlfn.XLOOKUP(B93,'[1]Raw Data Sales'!$B:$B,'[1]Raw Data Sales'!$G:$G,0)</f>
        <v>46569</v>
      </c>
      <c r="I93" s="13">
        <f t="shared" ca="1" si="1"/>
        <v>500</v>
      </c>
      <c r="J93" s="9" t="str">
        <f>_xlfn.XLOOKUP('Item Inventory'!C93,Table1[Category],Table1[ABC_Class],0)</f>
        <v>B</v>
      </c>
      <c r="K93" s="9" t="str">
        <f>_xlfn.XLOOKUP(C93,Table1[Category],Table1[FSN_Class],0)</f>
        <v>S</v>
      </c>
    </row>
    <row r="94" spans="1:11" ht="25.5" x14ac:dyDescent="0.55000000000000004">
      <c r="A94" s="9" t="s">
        <v>419</v>
      </c>
      <c r="B94" s="9" t="s">
        <v>150</v>
      </c>
      <c r="C94" s="9" t="s">
        <v>12</v>
      </c>
      <c r="D94" s="10">
        <v>87</v>
      </c>
      <c r="E94" s="9" t="s">
        <v>151</v>
      </c>
      <c r="F94" s="11">
        <v>71.427272727272722</v>
      </c>
      <c r="G94" s="11">
        <v>78.569999999999993</v>
      </c>
      <c r="H94" s="14">
        <v>46082</v>
      </c>
      <c r="I94" s="13">
        <f t="shared" ca="1" si="1"/>
        <v>13</v>
      </c>
      <c r="J94" s="9" t="str">
        <f>_xlfn.XLOOKUP('Item Inventory'!C176,Table1[Category],Table1[ABC_Class],0)</f>
        <v>A</v>
      </c>
      <c r="K94" s="9" t="str">
        <f>_xlfn.XLOOKUP(C94,Table1[Category],Table1[FSN_Class],0)</f>
        <v>F</v>
      </c>
    </row>
    <row r="95" spans="1:11" ht="25.5" x14ac:dyDescent="0.55000000000000004">
      <c r="A95" s="9" t="s">
        <v>291</v>
      </c>
      <c r="B95" s="9" t="s">
        <v>42</v>
      </c>
      <c r="C95" s="9" t="s">
        <v>43</v>
      </c>
      <c r="D95" s="10">
        <v>33</v>
      </c>
      <c r="E95" s="9" t="s">
        <v>66</v>
      </c>
      <c r="F95" s="11">
        <v>154.08181818181799</v>
      </c>
      <c r="G95" s="11">
        <v>169.49</v>
      </c>
      <c r="H95" s="12">
        <f>_xlfn.XLOOKUP(B95,'[1]Raw Data Sales'!$B:$B,'[1]Raw Data Sales'!$G:$G,0)</f>
        <v>46388</v>
      </c>
      <c r="I95" s="13">
        <f t="shared" ca="1" si="1"/>
        <v>319</v>
      </c>
      <c r="J95" s="9" t="str">
        <f>_xlfn.XLOOKUP('Item Inventory'!C95,Table1[Category],Table1[ABC_Class],0)</f>
        <v>A</v>
      </c>
      <c r="K95" s="9" t="str">
        <f>_xlfn.XLOOKUP(C95,Table1[Category],Table1[FSN_Class],0)</f>
        <v>F</v>
      </c>
    </row>
    <row r="96" spans="1:11" ht="25.5" x14ac:dyDescent="0.55000000000000004">
      <c r="A96" s="9" t="s">
        <v>292</v>
      </c>
      <c r="B96" s="9" t="s">
        <v>171</v>
      </c>
      <c r="C96" s="9" t="s">
        <v>94</v>
      </c>
      <c r="D96" s="10">
        <v>36</v>
      </c>
      <c r="E96" s="9" t="s">
        <v>192</v>
      </c>
      <c r="F96" s="11">
        <v>163.63636363636363</v>
      </c>
      <c r="G96" s="11">
        <v>180</v>
      </c>
      <c r="H96" s="12">
        <f>_xlfn.XLOOKUP(B96,'[1]Raw Data Sales'!$B:$B,'[1]Raw Data Sales'!$G:$G,0)</f>
        <v>46905</v>
      </c>
      <c r="I96" s="13">
        <f t="shared" ca="1" si="1"/>
        <v>836</v>
      </c>
      <c r="J96" s="9" t="str">
        <f>_xlfn.XLOOKUP('Item Inventory'!C96,Table1[Category],Table1[ABC_Class],0)</f>
        <v>C</v>
      </c>
      <c r="K96" s="9" t="str">
        <f>_xlfn.XLOOKUP(C96,Table1[Category],Table1[FSN_Class],0)</f>
        <v>N</v>
      </c>
    </row>
    <row r="97" spans="1:11" ht="25.5" x14ac:dyDescent="0.55000000000000004">
      <c r="A97" s="9" t="s">
        <v>293</v>
      </c>
      <c r="B97" s="9" t="s">
        <v>119</v>
      </c>
      <c r="C97" s="9" t="s">
        <v>12</v>
      </c>
      <c r="D97" s="10">
        <v>97</v>
      </c>
      <c r="E97" s="9" t="s">
        <v>151</v>
      </c>
      <c r="F97" s="11">
        <v>217.5363636363636</v>
      </c>
      <c r="G97" s="11">
        <v>239.29</v>
      </c>
      <c r="H97" s="12">
        <f>_xlfn.XLOOKUP(B97,'[1]Raw Data Sales'!$B:$B,'[1]Raw Data Sales'!$G:$G,0)</f>
        <v>46204</v>
      </c>
      <c r="I97" s="13">
        <f t="shared" ca="1" si="1"/>
        <v>135</v>
      </c>
      <c r="J97" s="9" t="str">
        <f>_xlfn.XLOOKUP('Item Inventory'!C97,Table1[Category],Table1[ABC_Class],0)</f>
        <v>A</v>
      </c>
      <c r="K97" s="9" t="str">
        <f>_xlfn.XLOOKUP(C97,Table1[Category],Table1[FSN_Class],0)</f>
        <v>F</v>
      </c>
    </row>
    <row r="98" spans="1:11" ht="25.5" x14ac:dyDescent="0.55000000000000004">
      <c r="A98" s="9" t="s">
        <v>294</v>
      </c>
      <c r="B98" s="9" t="s">
        <v>9</v>
      </c>
      <c r="C98" s="9" t="s">
        <v>13</v>
      </c>
      <c r="D98" s="10">
        <v>95</v>
      </c>
      <c r="E98" s="9" t="s">
        <v>18</v>
      </c>
      <c r="F98" s="11">
        <v>120.12727272727271</v>
      </c>
      <c r="G98" s="11">
        <v>132.13999999999999</v>
      </c>
      <c r="H98" s="12">
        <f>_xlfn.XLOOKUP(B98,'[1]Raw Data Sales'!$B:$B,'[1]Raw Data Sales'!$G:$G,0)</f>
        <v>46508</v>
      </c>
      <c r="I98" s="13">
        <f t="shared" ca="1" si="1"/>
        <v>439</v>
      </c>
      <c r="J98" s="9" t="str">
        <f>_xlfn.XLOOKUP('Item Inventory'!C98,Table1[Category],Table1[ABC_Class],0)</f>
        <v>B</v>
      </c>
      <c r="K98" s="9" t="str">
        <f>_xlfn.XLOOKUP(C98,Table1[Category],Table1[FSN_Class],0)</f>
        <v>N</v>
      </c>
    </row>
    <row r="99" spans="1:11" ht="25.5" x14ac:dyDescent="0.55000000000000004">
      <c r="A99" s="9" t="s">
        <v>295</v>
      </c>
      <c r="B99" s="9" t="s">
        <v>172</v>
      </c>
      <c r="C99" s="9" t="s">
        <v>12</v>
      </c>
      <c r="D99" s="10">
        <v>85</v>
      </c>
      <c r="E99" s="9" t="s">
        <v>192</v>
      </c>
      <c r="F99" s="11">
        <v>59.736363636363627</v>
      </c>
      <c r="G99" s="11">
        <v>65.709999999999994</v>
      </c>
      <c r="H99" s="12">
        <f>_xlfn.XLOOKUP(B99,'[1]Raw Data Sales'!$B:$B,'[1]Raw Data Sales'!$G:$G,0)</f>
        <v>46508</v>
      </c>
      <c r="I99" s="13">
        <f t="shared" ca="1" si="1"/>
        <v>439</v>
      </c>
      <c r="J99" s="9" t="str">
        <f>_xlfn.XLOOKUP('Item Inventory'!C99,Table1[Category],Table1[ABC_Class],0)</f>
        <v>A</v>
      </c>
      <c r="K99" s="9" t="str">
        <f>_xlfn.XLOOKUP(C99,Table1[Category],Table1[FSN_Class],0)</f>
        <v>F</v>
      </c>
    </row>
    <row r="100" spans="1:11" ht="25.5" x14ac:dyDescent="0.55000000000000004">
      <c r="A100" s="9" t="s">
        <v>296</v>
      </c>
      <c r="B100" s="9" t="s">
        <v>173</v>
      </c>
      <c r="C100" s="9" t="s">
        <v>43</v>
      </c>
      <c r="D100" s="10">
        <v>92</v>
      </c>
      <c r="E100" s="9" t="s">
        <v>192</v>
      </c>
      <c r="F100" s="11">
        <v>141.76363636363635</v>
      </c>
      <c r="G100" s="11">
        <v>155.94</v>
      </c>
      <c r="H100" s="12">
        <f>_xlfn.XLOOKUP(B100,'[1]Raw Data Sales'!$B:$B,'[1]Raw Data Sales'!$G:$G,0)</f>
        <v>46508</v>
      </c>
      <c r="I100" s="13">
        <f t="shared" ca="1" si="1"/>
        <v>439</v>
      </c>
      <c r="J100" s="9" t="str">
        <f>_xlfn.XLOOKUP('Item Inventory'!C100,Table1[Category],Table1[ABC_Class],0)</f>
        <v>A</v>
      </c>
      <c r="K100" s="9" t="str">
        <f>_xlfn.XLOOKUP(C100,Table1[Category],Table1[FSN_Class],0)</f>
        <v>F</v>
      </c>
    </row>
    <row r="101" spans="1:11" ht="25.5" x14ac:dyDescent="0.55000000000000004">
      <c r="A101" s="9" t="s">
        <v>297</v>
      </c>
      <c r="B101" s="9" t="s">
        <v>120</v>
      </c>
      <c r="C101" s="9" t="s">
        <v>12</v>
      </c>
      <c r="D101" s="10">
        <v>52</v>
      </c>
      <c r="E101" s="9" t="s">
        <v>151</v>
      </c>
      <c r="F101" s="11">
        <v>135.71818181818179</v>
      </c>
      <c r="G101" s="11">
        <v>149.29</v>
      </c>
      <c r="H101" s="12">
        <f>_xlfn.XLOOKUP(B101,'[1]Raw Data Sales'!$B:$B,'[1]Raw Data Sales'!$G:$G,0)</f>
        <v>46478</v>
      </c>
      <c r="I101" s="13">
        <f t="shared" ca="1" si="1"/>
        <v>409</v>
      </c>
      <c r="J101" s="9" t="str">
        <f>_xlfn.XLOOKUP('Item Inventory'!C101,Table1[Category],Table1[ABC_Class],0)</f>
        <v>A</v>
      </c>
      <c r="K101" s="9" t="str">
        <f>_xlfn.XLOOKUP(C101,Table1[Category],Table1[FSN_Class],0)</f>
        <v>F</v>
      </c>
    </row>
    <row r="102" spans="1:11" ht="25.5" x14ac:dyDescent="0.55000000000000004">
      <c r="A102" s="9" t="s">
        <v>298</v>
      </c>
      <c r="B102" s="9" t="s">
        <v>121</v>
      </c>
      <c r="C102" s="9" t="s">
        <v>117</v>
      </c>
      <c r="D102" s="10">
        <v>34</v>
      </c>
      <c r="E102" s="9" t="s">
        <v>151</v>
      </c>
      <c r="F102" s="11">
        <v>128.72727272727272</v>
      </c>
      <c r="G102" s="11">
        <v>141.6</v>
      </c>
      <c r="H102" s="12">
        <f>_xlfn.XLOOKUP(B102,'[1]Raw Data Sales'!$B:$B,'[1]Raw Data Sales'!$G:$G,0)</f>
        <v>46478</v>
      </c>
      <c r="I102" s="13">
        <f t="shared" ca="1" si="1"/>
        <v>409</v>
      </c>
      <c r="J102" s="9" t="str">
        <f>_xlfn.XLOOKUP('Item Inventory'!C102,Table1[Category],Table1[ABC_Class],0)</f>
        <v>B</v>
      </c>
      <c r="K102" s="9" t="str">
        <f>_xlfn.XLOOKUP(C102,Table1[Category],Table1[FSN_Class],0)</f>
        <v>S</v>
      </c>
    </row>
    <row r="103" spans="1:11" ht="25.5" x14ac:dyDescent="0.55000000000000004">
      <c r="A103" s="9" t="s">
        <v>299</v>
      </c>
      <c r="B103" s="9" t="s">
        <v>8</v>
      </c>
      <c r="C103" s="9" t="s">
        <v>13</v>
      </c>
      <c r="D103" s="10">
        <v>44</v>
      </c>
      <c r="E103" s="9" t="s">
        <v>18</v>
      </c>
      <c r="F103" s="11">
        <v>119.09999999999998</v>
      </c>
      <c r="G103" s="11">
        <v>131.01</v>
      </c>
      <c r="H103" s="12">
        <f>_xlfn.XLOOKUP(B103,'[1]Raw Data Sales'!$B:$B,'[1]Raw Data Sales'!$G:$G,0)</f>
        <v>46508</v>
      </c>
      <c r="I103" s="13">
        <f t="shared" ca="1" si="1"/>
        <v>439</v>
      </c>
      <c r="J103" s="9" t="str">
        <f>_xlfn.XLOOKUP('Item Inventory'!C103,Table1[Category],Table1[ABC_Class],0)</f>
        <v>B</v>
      </c>
      <c r="K103" s="9" t="str">
        <f>_xlfn.XLOOKUP(C103,Table1[Category],Table1[FSN_Class],0)</f>
        <v>N</v>
      </c>
    </row>
    <row r="104" spans="1:11" ht="25.5" x14ac:dyDescent="0.55000000000000004">
      <c r="A104" s="9" t="s">
        <v>300</v>
      </c>
      <c r="B104" s="9" t="s">
        <v>185</v>
      </c>
      <c r="C104" s="9" t="s">
        <v>14</v>
      </c>
      <c r="D104" s="10">
        <v>88</v>
      </c>
      <c r="E104" s="9" t="s">
        <v>192</v>
      </c>
      <c r="F104" s="11">
        <v>159.62727272727273</v>
      </c>
      <c r="G104" s="11">
        <v>175.59</v>
      </c>
      <c r="H104" s="12">
        <f>_xlfn.XLOOKUP(B104,'[1]Raw Data Sales'!$B:$B,'[1]Raw Data Sales'!$G:$G,0)</f>
        <v>46569</v>
      </c>
      <c r="I104" s="13">
        <f t="shared" ca="1" si="1"/>
        <v>500</v>
      </c>
      <c r="J104" s="9" t="str">
        <f>_xlfn.XLOOKUP('Item Inventory'!C104,Table1[Category],Table1[ABC_Class],0)</f>
        <v>A</v>
      </c>
      <c r="K104" s="9" t="str">
        <f>_xlfn.XLOOKUP(C104,Table1[Category],Table1[FSN_Class],0)</f>
        <v>F</v>
      </c>
    </row>
    <row r="105" spans="1:11" ht="25.5" x14ac:dyDescent="0.55000000000000004">
      <c r="A105" s="9" t="s">
        <v>301</v>
      </c>
      <c r="B105" s="9" t="s">
        <v>122</v>
      </c>
      <c r="C105" s="9" t="s">
        <v>26</v>
      </c>
      <c r="D105" s="10">
        <v>95</v>
      </c>
      <c r="E105" s="9" t="s">
        <v>151</v>
      </c>
      <c r="F105" s="11">
        <v>39.218181818181819</v>
      </c>
      <c r="G105" s="11">
        <v>43.14</v>
      </c>
      <c r="H105" s="12">
        <f>_xlfn.XLOOKUP(B105,'[1]Raw Data Sales'!$B:$B,'[1]Raw Data Sales'!$G:$G,0)</f>
        <v>46508</v>
      </c>
      <c r="I105" s="13">
        <f t="shared" ca="1" si="1"/>
        <v>439</v>
      </c>
      <c r="J105" s="9" t="str">
        <f>_xlfn.XLOOKUP('Item Inventory'!C105,Table1[Category],Table1[ABC_Class],0)</f>
        <v>A</v>
      </c>
      <c r="K105" s="9" t="str">
        <f>_xlfn.XLOOKUP(C105,Table1[Category],Table1[FSN_Class],0)</f>
        <v>F</v>
      </c>
    </row>
    <row r="106" spans="1:11" ht="25.5" x14ac:dyDescent="0.55000000000000004">
      <c r="A106" s="9" t="s">
        <v>417</v>
      </c>
      <c r="B106" s="9" t="s">
        <v>371</v>
      </c>
      <c r="C106" s="9" t="s">
        <v>14</v>
      </c>
      <c r="D106" s="10">
        <v>60</v>
      </c>
      <c r="E106" s="9" t="s">
        <v>416</v>
      </c>
      <c r="F106" s="15" t="s">
        <v>416</v>
      </c>
      <c r="G106" s="11">
        <v>263</v>
      </c>
      <c r="H106" s="14">
        <v>45931</v>
      </c>
      <c r="I106" s="13">
        <f t="shared" ca="1" si="1"/>
        <v>-138</v>
      </c>
      <c r="J106" s="9" t="str">
        <f>_xlfn.XLOOKUP('Item Inventory'!C174,Table1[Category],Table1[ABC_Class],0)</f>
        <v>A</v>
      </c>
      <c r="K106" s="9" t="str">
        <f>_xlfn.XLOOKUP(C106,Table1[Category],Table1[FSN_Class],0)</f>
        <v>F</v>
      </c>
    </row>
    <row r="107" spans="1:11" ht="25.5" x14ac:dyDescent="0.55000000000000004">
      <c r="A107" s="9" t="s">
        <v>303</v>
      </c>
      <c r="B107" s="9" t="s">
        <v>19</v>
      </c>
      <c r="C107" s="9" t="s">
        <v>14</v>
      </c>
      <c r="D107" s="10">
        <v>43</v>
      </c>
      <c r="E107" s="9" t="s">
        <v>20</v>
      </c>
      <c r="F107" s="11">
        <v>448.13636363636357</v>
      </c>
      <c r="G107" s="11">
        <v>492.95</v>
      </c>
      <c r="H107" s="12">
        <f>_xlfn.XLOOKUP(B107,'[1]Raw Data Sales'!$B:$B,'[1]Raw Data Sales'!$G:$G,0)</f>
        <v>46447</v>
      </c>
      <c r="I107" s="13">
        <f t="shared" ca="1" si="1"/>
        <v>378</v>
      </c>
      <c r="J107" s="9" t="str">
        <f>_xlfn.XLOOKUP('Item Inventory'!C107,Table1[Category],Table1[ABC_Class],0)</f>
        <v>A</v>
      </c>
      <c r="K107" s="9" t="str">
        <f>_xlfn.XLOOKUP(C107,Table1[Category],Table1[FSN_Class],0)</f>
        <v>F</v>
      </c>
    </row>
    <row r="108" spans="1:11" ht="25.5" x14ac:dyDescent="0.55000000000000004">
      <c r="A108" s="9" t="s">
        <v>304</v>
      </c>
      <c r="B108" s="9" t="s">
        <v>174</v>
      </c>
      <c r="C108" s="9" t="s">
        <v>26</v>
      </c>
      <c r="D108" s="10">
        <v>56</v>
      </c>
      <c r="E108" s="9" t="s">
        <v>192</v>
      </c>
      <c r="F108" s="11">
        <v>15.390909090909089</v>
      </c>
      <c r="G108" s="11">
        <v>16.93</v>
      </c>
      <c r="H108" s="12">
        <f>_xlfn.XLOOKUP(B108,'[1]Raw Data Sales'!$B:$B,'[1]Raw Data Sales'!$G:$G,0)</f>
        <v>46508</v>
      </c>
      <c r="I108" s="13">
        <f t="shared" ca="1" si="1"/>
        <v>439</v>
      </c>
      <c r="J108" s="9" t="str">
        <f>_xlfn.XLOOKUP('Item Inventory'!C108,Table1[Category],Table1[ABC_Class],0)</f>
        <v>A</v>
      </c>
      <c r="K108" s="9" t="str">
        <f>_xlfn.XLOOKUP(C108,Table1[Category],Table1[FSN_Class],0)</f>
        <v>F</v>
      </c>
    </row>
    <row r="109" spans="1:11" ht="25.5" x14ac:dyDescent="0.55000000000000004">
      <c r="A109" s="9" t="s">
        <v>305</v>
      </c>
      <c r="B109" s="9" t="s">
        <v>175</v>
      </c>
      <c r="C109" s="9" t="s">
        <v>41</v>
      </c>
      <c r="D109" s="10">
        <v>44</v>
      </c>
      <c r="E109" s="9" t="s">
        <v>192</v>
      </c>
      <c r="F109" s="11">
        <v>551.94545454545448</v>
      </c>
      <c r="G109" s="11">
        <v>607.14</v>
      </c>
      <c r="H109" s="12">
        <f>_xlfn.XLOOKUP(B109,'[1]Raw Data Sales'!$B:$B,'[1]Raw Data Sales'!$G:$G,0)</f>
        <v>46539</v>
      </c>
      <c r="I109" s="13">
        <f t="shared" ca="1" si="1"/>
        <v>470</v>
      </c>
      <c r="J109" s="9" t="str">
        <f>_xlfn.XLOOKUP('Item Inventory'!C109,Table1[Category],Table1[ABC_Class],0)</f>
        <v>A</v>
      </c>
      <c r="K109" s="9" t="str">
        <f>_xlfn.XLOOKUP(C109,Table1[Category],Table1[FSN_Class],0)</f>
        <v>S</v>
      </c>
    </row>
    <row r="110" spans="1:11" ht="25.5" x14ac:dyDescent="0.55000000000000004">
      <c r="A110" s="9" t="s">
        <v>369</v>
      </c>
      <c r="B110" s="9" t="s">
        <v>374</v>
      </c>
      <c r="C110" s="9" t="s">
        <v>415</v>
      </c>
      <c r="D110" s="10">
        <v>66</v>
      </c>
      <c r="E110" s="9" t="s">
        <v>416</v>
      </c>
      <c r="F110" s="15" t="s">
        <v>416</v>
      </c>
      <c r="G110" s="11">
        <v>70.56</v>
      </c>
      <c r="H110" s="14">
        <v>45931</v>
      </c>
      <c r="I110" s="13">
        <f t="shared" ca="1" si="1"/>
        <v>-138</v>
      </c>
      <c r="J110" s="9" t="s">
        <v>469</v>
      </c>
      <c r="K110" s="9" t="s">
        <v>474</v>
      </c>
    </row>
    <row r="111" spans="1:11" ht="25.5" x14ac:dyDescent="0.55000000000000004">
      <c r="A111" s="9" t="s">
        <v>368</v>
      </c>
      <c r="B111" s="9" t="s">
        <v>80</v>
      </c>
      <c r="C111" s="9" t="s">
        <v>41</v>
      </c>
      <c r="D111" s="10">
        <v>21</v>
      </c>
      <c r="E111" s="9" t="s">
        <v>81</v>
      </c>
      <c r="F111" s="11">
        <v>1326.3636363636363</v>
      </c>
      <c r="G111" s="11">
        <v>1459</v>
      </c>
      <c r="H111" s="14">
        <v>45748</v>
      </c>
      <c r="I111" s="13">
        <f t="shared" ca="1" si="1"/>
        <v>-321</v>
      </c>
      <c r="J111" s="9" t="s">
        <v>467</v>
      </c>
      <c r="K111" s="9" t="str">
        <f>_xlfn.XLOOKUP(C111,Table1[Category],Table1[FSN_Class],0)</f>
        <v>S</v>
      </c>
    </row>
    <row r="112" spans="1:11" ht="25.5" x14ac:dyDescent="0.55000000000000004">
      <c r="A112" s="9" t="s">
        <v>365</v>
      </c>
      <c r="B112" s="9" t="s">
        <v>398</v>
      </c>
      <c r="C112" s="9" t="s">
        <v>26</v>
      </c>
      <c r="D112" s="10">
        <v>88</v>
      </c>
      <c r="E112" s="9" t="s">
        <v>416</v>
      </c>
      <c r="F112" s="15" t="s">
        <v>416</v>
      </c>
      <c r="G112" s="11">
        <v>225</v>
      </c>
      <c r="H112" s="14">
        <v>46204</v>
      </c>
      <c r="I112" s="13">
        <f t="shared" ca="1" si="1"/>
        <v>135</v>
      </c>
      <c r="J112" s="9" t="str">
        <f>_xlfn.XLOOKUP('Item Inventory'!C169,Table1[Category],Table1[ABC_Class],0)</f>
        <v>B</v>
      </c>
      <c r="K112" s="9" t="str">
        <f>_xlfn.XLOOKUP(C112,Table1[Category],Table1[FSN_Class],0)</f>
        <v>F</v>
      </c>
    </row>
    <row r="113" spans="1:11" ht="25.5" x14ac:dyDescent="0.55000000000000004">
      <c r="A113" s="9" t="s">
        <v>362</v>
      </c>
      <c r="B113" s="9" t="s">
        <v>377</v>
      </c>
      <c r="C113" s="9" t="s">
        <v>34</v>
      </c>
      <c r="D113" s="10">
        <v>94</v>
      </c>
      <c r="E113" s="9" t="s">
        <v>416</v>
      </c>
      <c r="F113" s="15" t="s">
        <v>416</v>
      </c>
      <c r="G113" s="11">
        <v>64.28</v>
      </c>
      <c r="H113" s="14">
        <v>45931</v>
      </c>
      <c r="I113" s="13">
        <f t="shared" ca="1" si="1"/>
        <v>-138</v>
      </c>
      <c r="J113" s="9" t="str">
        <f>_xlfn.XLOOKUP('Item Inventory'!C166,Table1[Category],Table1[ABC_Class],0)</f>
        <v>A</v>
      </c>
      <c r="K113" s="9" t="str">
        <f>_xlfn.XLOOKUP(C113,Table1[Category],Table1[FSN_Class],0)</f>
        <v>S</v>
      </c>
    </row>
    <row r="114" spans="1:11" ht="25.5" x14ac:dyDescent="0.55000000000000004">
      <c r="A114" s="9" t="s">
        <v>361</v>
      </c>
      <c r="B114" s="9" t="s">
        <v>411</v>
      </c>
      <c r="C114" s="9" t="s">
        <v>34</v>
      </c>
      <c r="D114" s="10">
        <v>81</v>
      </c>
      <c r="E114" s="9" t="s">
        <v>416</v>
      </c>
      <c r="F114" s="15" t="s">
        <v>416</v>
      </c>
      <c r="G114" s="11">
        <v>45.5</v>
      </c>
      <c r="H114" s="14">
        <v>46266</v>
      </c>
      <c r="I114" s="13">
        <f t="shared" ca="1" si="1"/>
        <v>197</v>
      </c>
      <c r="J114" s="9" t="str">
        <f>_xlfn.XLOOKUP('Item Inventory'!C165,Table1[Category],Table1[ABC_Class],0)</f>
        <v>A</v>
      </c>
      <c r="K114" s="9" t="str">
        <f>_xlfn.XLOOKUP(C114,Table1[Category],Table1[FSN_Class],0)</f>
        <v>S</v>
      </c>
    </row>
    <row r="115" spans="1:11" ht="25.5" x14ac:dyDescent="0.55000000000000004">
      <c r="A115" s="9" t="s">
        <v>311</v>
      </c>
      <c r="B115" s="9" t="s">
        <v>176</v>
      </c>
      <c r="C115" s="9" t="s">
        <v>41</v>
      </c>
      <c r="D115" s="10">
        <v>76</v>
      </c>
      <c r="E115" s="9" t="s">
        <v>192</v>
      </c>
      <c r="F115" s="11">
        <v>84.418181818181807</v>
      </c>
      <c r="G115" s="11">
        <v>92.86</v>
      </c>
      <c r="H115" s="12">
        <f>_xlfn.XLOOKUP(B115,'[1]Raw Data Sales'!$B:$B,'[1]Raw Data Sales'!$G:$G,0)</f>
        <v>46478</v>
      </c>
      <c r="I115" s="13">
        <f t="shared" ca="1" si="1"/>
        <v>409</v>
      </c>
      <c r="J115" s="9" t="str">
        <f>_xlfn.XLOOKUP('Item Inventory'!C115,Table1[Category],Table1[ABC_Class],0)</f>
        <v>A</v>
      </c>
      <c r="K115" s="9" t="str">
        <f>_xlfn.XLOOKUP(C115,Table1[Category],Table1[FSN_Class],0)</f>
        <v>S</v>
      </c>
    </row>
    <row r="116" spans="1:11" ht="25.5" x14ac:dyDescent="0.55000000000000004">
      <c r="A116" s="9" t="s">
        <v>312</v>
      </c>
      <c r="B116" s="9" t="s">
        <v>123</v>
      </c>
      <c r="C116" s="9" t="s">
        <v>43</v>
      </c>
      <c r="D116" s="10">
        <v>87</v>
      </c>
      <c r="E116" s="9" t="s">
        <v>151</v>
      </c>
      <c r="F116" s="11">
        <v>87.272727272727266</v>
      </c>
      <c r="G116" s="11">
        <v>96</v>
      </c>
      <c r="H116" s="12">
        <f>_xlfn.XLOOKUP(B116,'[1]Raw Data Sales'!$B:$B,'[1]Raw Data Sales'!$G:$G,0)</f>
        <v>46539</v>
      </c>
      <c r="I116" s="13">
        <f t="shared" ca="1" si="1"/>
        <v>470</v>
      </c>
      <c r="J116" s="9" t="str">
        <f>_xlfn.XLOOKUP('Item Inventory'!C116,Table1[Category],Table1[ABC_Class],0)</f>
        <v>A</v>
      </c>
      <c r="K116" s="9" t="str">
        <f>_xlfn.XLOOKUP(C116,Table1[Category],Table1[FSN_Class],0)</f>
        <v>F</v>
      </c>
    </row>
    <row r="117" spans="1:11" ht="25.5" x14ac:dyDescent="0.55000000000000004">
      <c r="A117" s="9" t="s">
        <v>313</v>
      </c>
      <c r="B117" s="9" t="s">
        <v>123</v>
      </c>
      <c r="C117" s="9" t="s">
        <v>43</v>
      </c>
      <c r="D117" s="10">
        <v>43</v>
      </c>
      <c r="E117" s="9" t="s">
        <v>192</v>
      </c>
      <c r="F117" s="11">
        <v>87.663636363636357</v>
      </c>
      <c r="G117" s="11">
        <v>96.43</v>
      </c>
      <c r="H117" s="12">
        <f>_xlfn.XLOOKUP(B117,'[1]Raw Data Sales'!$B:$B,'[1]Raw Data Sales'!$G:$G,0)</f>
        <v>46539</v>
      </c>
      <c r="I117" s="13">
        <f t="shared" ca="1" si="1"/>
        <v>470</v>
      </c>
      <c r="J117" s="9" t="str">
        <f>_xlfn.XLOOKUP('Item Inventory'!C117,Table1[Category],Table1[ABC_Class],0)</f>
        <v>A</v>
      </c>
      <c r="K117" s="9" t="str">
        <f>_xlfn.XLOOKUP(C117,Table1[Category],Table1[FSN_Class],0)</f>
        <v>F</v>
      </c>
    </row>
    <row r="118" spans="1:11" ht="25.5" x14ac:dyDescent="0.55000000000000004">
      <c r="A118" s="9" t="s">
        <v>314</v>
      </c>
      <c r="B118" s="9" t="s">
        <v>177</v>
      </c>
      <c r="C118" s="9" t="s">
        <v>94</v>
      </c>
      <c r="D118" s="10">
        <v>55</v>
      </c>
      <c r="E118" s="9" t="s">
        <v>192</v>
      </c>
      <c r="F118" s="11">
        <v>44.845454545454537</v>
      </c>
      <c r="G118" s="11">
        <v>49.33</v>
      </c>
      <c r="H118" s="12">
        <f>_xlfn.XLOOKUP(B118,'[1]Raw Data Sales'!$B:$B,'[1]Raw Data Sales'!$G:$G,0)</f>
        <v>46874</v>
      </c>
      <c r="I118" s="13">
        <f t="shared" ca="1" si="1"/>
        <v>805</v>
      </c>
      <c r="J118" s="9" t="str">
        <f>_xlfn.XLOOKUP('Item Inventory'!C118,Table1[Category],Table1[ABC_Class],0)</f>
        <v>C</v>
      </c>
      <c r="K118" s="9" t="str">
        <f>_xlfn.XLOOKUP(C118,Table1[Category],Table1[FSN_Class],0)</f>
        <v>N</v>
      </c>
    </row>
    <row r="119" spans="1:11" ht="25.5" x14ac:dyDescent="0.55000000000000004">
      <c r="A119" s="9" t="s">
        <v>315</v>
      </c>
      <c r="B119" s="9" t="s">
        <v>124</v>
      </c>
      <c r="C119" s="9" t="s">
        <v>41</v>
      </c>
      <c r="D119" s="10">
        <v>23</v>
      </c>
      <c r="E119" s="9" t="s">
        <v>151</v>
      </c>
      <c r="F119" s="11">
        <v>857.93636363636358</v>
      </c>
      <c r="G119" s="11">
        <v>943.73</v>
      </c>
      <c r="H119" s="12">
        <f>_xlfn.XLOOKUP(B119,'[1]Raw Data Sales'!$B:$B,'[1]Raw Data Sales'!$G:$G,0)</f>
        <v>46478</v>
      </c>
      <c r="I119" s="13">
        <f t="shared" ca="1" si="1"/>
        <v>409</v>
      </c>
      <c r="J119" s="9" t="str">
        <f>_xlfn.XLOOKUP('Item Inventory'!C119,Table1[Category],Table1[ABC_Class],0)</f>
        <v>A</v>
      </c>
      <c r="K119" s="9" t="str">
        <f>_xlfn.XLOOKUP(C119,Table1[Category],Table1[FSN_Class],0)</f>
        <v>S</v>
      </c>
    </row>
    <row r="120" spans="1:11" ht="25.5" x14ac:dyDescent="0.55000000000000004">
      <c r="A120" s="9" t="s">
        <v>316</v>
      </c>
      <c r="B120" s="9" t="s">
        <v>186</v>
      </c>
      <c r="C120" s="9" t="s">
        <v>14</v>
      </c>
      <c r="D120" s="10">
        <v>95</v>
      </c>
      <c r="E120" s="9" t="s">
        <v>192</v>
      </c>
      <c r="F120" s="11">
        <v>348.95454545454544</v>
      </c>
      <c r="G120" s="11">
        <v>383.85</v>
      </c>
      <c r="H120" s="12">
        <f>_xlfn.XLOOKUP(B120,'[1]Raw Data Sales'!$B:$B,'[1]Raw Data Sales'!$G:$G,0)</f>
        <v>46508</v>
      </c>
      <c r="I120" s="13">
        <f t="shared" ca="1" si="1"/>
        <v>439</v>
      </c>
      <c r="J120" s="9" t="str">
        <f>_xlfn.XLOOKUP('Item Inventory'!C120,Table1[Category],Table1[ABC_Class],0)</f>
        <v>A</v>
      </c>
      <c r="K120" s="9" t="str">
        <f>_xlfn.XLOOKUP(C120,Table1[Category],Table1[FSN_Class],0)</f>
        <v>F</v>
      </c>
    </row>
    <row r="121" spans="1:11" ht="25.5" x14ac:dyDescent="0.55000000000000004">
      <c r="A121" s="9" t="s">
        <v>317</v>
      </c>
      <c r="B121" s="9" t="s">
        <v>125</v>
      </c>
      <c r="C121" s="9" t="s">
        <v>41</v>
      </c>
      <c r="D121" s="10">
        <v>30</v>
      </c>
      <c r="E121" s="9" t="s">
        <v>151</v>
      </c>
      <c r="F121" s="11">
        <v>218.67272727272726</v>
      </c>
      <c r="G121" s="11">
        <v>240.54</v>
      </c>
      <c r="H121" s="12">
        <f>_xlfn.XLOOKUP(B121,'[1]Raw Data Sales'!$B:$B,'[1]Raw Data Sales'!$G:$G,0)</f>
        <v>46508</v>
      </c>
      <c r="I121" s="13">
        <f t="shared" ca="1" si="1"/>
        <v>439</v>
      </c>
      <c r="J121" s="9" t="str">
        <f>_xlfn.XLOOKUP('Item Inventory'!C121,Table1[Category],Table1[ABC_Class],0)</f>
        <v>A</v>
      </c>
      <c r="K121" s="9" t="str">
        <f>_xlfn.XLOOKUP(C121,Table1[Category],Table1[FSN_Class],0)</f>
        <v>S</v>
      </c>
    </row>
    <row r="122" spans="1:11" ht="25.5" x14ac:dyDescent="0.55000000000000004">
      <c r="A122" s="9" t="s">
        <v>318</v>
      </c>
      <c r="B122" s="9" t="s">
        <v>79</v>
      </c>
      <c r="C122" s="9" t="s">
        <v>41</v>
      </c>
      <c r="D122" s="10">
        <v>73</v>
      </c>
      <c r="E122" s="9" t="s">
        <v>81</v>
      </c>
      <c r="F122" s="11">
        <v>265.4909090909091</v>
      </c>
      <c r="G122" s="11">
        <v>292.04000000000002</v>
      </c>
      <c r="H122" s="12">
        <f>_xlfn.XLOOKUP(B122,'[1]Raw Data Sales'!$B:$B,'[1]Raw Data Sales'!$G:$G,0)</f>
        <v>46569</v>
      </c>
      <c r="I122" s="13">
        <f t="shared" ca="1" si="1"/>
        <v>500</v>
      </c>
      <c r="J122" s="9" t="str">
        <f>_xlfn.XLOOKUP('Item Inventory'!C122,Table1[Category],Table1[ABC_Class],0)</f>
        <v>A</v>
      </c>
      <c r="K122" s="9" t="str">
        <f>_xlfn.XLOOKUP(C122,Table1[Category],Table1[FSN_Class],0)</f>
        <v>S</v>
      </c>
    </row>
    <row r="123" spans="1:11" ht="25.5" x14ac:dyDescent="0.55000000000000004">
      <c r="A123" s="9" t="s">
        <v>319</v>
      </c>
      <c r="B123" s="9" t="s">
        <v>126</v>
      </c>
      <c r="C123" s="9" t="s">
        <v>26</v>
      </c>
      <c r="D123" s="10">
        <v>83</v>
      </c>
      <c r="E123" s="9" t="s">
        <v>151</v>
      </c>
      <c r="F123" s="11">
        <v>18.472727272727273</v>
      </c>
      <c r="G123" s="11">
        <v>20.32</v>
      </c>
      <c r="H123" s="12">
        <f>_xlfn.XLOOKUP(B123,'[1]Raw Data Sales'!$B:$B,'[1]Raw Data Sales'!$G:$G,0)</f>
        <v>46357</v>
      </c>
      <c r="I123" s="13">
        <f t="shared" ca="1" si="1"/>
        <v>288</v>
      </c>
      <c r="J123" s="9" t="str">
        <f>_xlfn.XLOOKUP('Item Inventory'!C123,Table1[Category],Table1[ABC_Class],0)</f>
        <v>A</v>
      </c>
      <c r="K123" s="9" t="str">
        <f>_xlfn.XLOOKUP(C123,Table1[Category],Table1[FSN_Class],0)</f>
        <v>F</v>
      </c>
    </row>
    <row r="124" spans="1:11" ht="25.5" x14ac:dyDescent="0.55000000000000004">
      <c r="A124" s="9" t="s">
        <v>320</v>
      </c>
      <c r="B124" s="9" t="s">
        <v>127</v>
      </c>
      <c r="C124" s="9" t="s">
        <v>64</v>
      </c>
      <c r="D124" s="10">
        <v>70</v>
      </c>
      <c r="E124" s="9" t="s">
        <v>151</v>
      </c>
      <c r="F124" s="11">
        <v>107.07272727272726</v>
      </c>
      <c r="G124" s="11">
        <v>117.78</v>
      </c>
      <c r="H124" s="12">
        <f>_xlfn.XLOOKUP(B124,'[1]Raw Data Sales'!$B:$B,'[1]Raw Data Sales'!$G:$G,0)</f>
        <v>46539</v>
      </c>
      <c r="I124" s="13">
        <f t="shared" ca="1" si="1"/>
        <v>470</v>
      </c>
      <c r="J124" s="9" t="str">
        <f>_xlfn.XLOOKUP('Item Inventory'!C124,Table1[Category],Table1[ABC_Class],0)</f>
        <v>C</v>
      </c>
      <c r="K124" s="9" t="str">
        <f>_xlfn.XLOOKUP(C124,Table1[Category],Table1[FSN_Class],0)</f>
        <v>N</v>
      </c>
    </row>
    <row r="125" spans="1:11" ht="25.5" x14ac:dyDescent="0.55000000000000004">
      <c r="A125" s="9" t="s">
        <v>321</v>
      </c>
      <c r="B125" s="9" t="s">
        <v>128</v>
      </c>
      <c r="C125" s="9" t="s">
        <v>34</v>
      </c>
      <c r="D125" s="10">
        <v>31</v>
      </c>
      <c r="E125" s="9" t="s">
        <v>151</v>
      </c>
      <c r="F125" s="11">
        <v>202.6</v>
      </c>
      <c r="G125" s="11">
        <v>222.86</v>
      </c>
      <c r="H125" s="12">
        <f>_xlfn.XLOOKUP(B125,'[1]Raw Data Sales'!$B:$B,'[1]Raw Data Sales'!$G:$G,0)</f>
        <v>46508</v>
      </c>
      <c r="I125" s="13">
        <f t="shared" ca="1" si="1"/>
        <v>439</v>
      </c>
      <c r="J125" s="9" t="str">
        <f>_xlfn.XLOOKUP('Item Inventory'!C125,Table1[Category],Table1[ABC_Class],0)</f>
        <v>B</v>
      </c>
      <c r="K125" s="9" t="str">
        <f>_xlfn.XLOOKUP(C125,Table1[Category],Table1[FSN_Class],0)</f>
        <v>S</v>
      </c>
    </row>
    <row r="126" spans="1:11" ht="25.5" x14ac:dyDescent="0.55000000000000004">
      <c r="A126" s="9" t="s">
        <v>359</v>
      </c>
      <c r="B126" s="9" t="s">
        <v>393</v>
      </c>
      <c r="C126" s="9" t="s">
        <v>14</v>
      </c>
      <c r="D126" s="10">
        <v>82</v>
      </c>
      <c r="E126" s="9" t="s">
        <v>416</v>
      </c>
      <c r="F126" s="15" t="s">
        <v>416</v>
      </c>
      <c r="G126" s="11">
        <v>350</v>
      </c>
      <c r="H126" s="14">
        <v>45809</v>
      </c>
      <c r="I126" s="13">
        <f t="shared" ca="1" si="1"/>
        <v>-260</v>
      </c>
      <c r="J126" s="9" t="str">
        <f>_xlfn.XLOOKUP('Item Inventory'!C163,Table1[Category],Table1[ABC_Class],0)</f>
        <v>A</v>
      </c>
      <c r="K126" s="9" t="str">
        <f>_xlfn.XLOOKUP(C126,Table1[Category],Table1[FSN_Class],0)</f>
        <v>F</v>
      </c>
    </row>
    <row r="127" spans="1:11" ht="25.5" x14ac:dyDescent="0.55000000000000004">
      <c r="A127" s="9" t="s">
        <v>354</v>
      </c>
      <c r="B127" s="9" t="s">
        <v>387</v>
      </c>
      <c r="C127" s="9" t="s">
        <v>415</v>
      </c>
      <c r="D127" s="10">
        <v>64</v>
      </c>
      <c r="E127" s="9" t="s">
        <v>416</v>
      </c>
      <c r="F127" s="15" t="s">
        <v>416</v>
      </c>
      <c r="G127" s="11">
        <v>108.05</v>
      </c>
      <c r="H127" s="14">
        <v>46174</v>
      </c>
      <c r="I127" s="13">
        <f t="shared" ca="1" si="1"/>
        <v>105</v>
      </c>
      <c r="J127" s="9" t="s">
        <v>469</v>
      </c>
      <c r="K127" s="9" t="s">
        <v>474</v>
      </c>
    </row>
    <row r="128" spans="1:11" ht="25.5" x14ac:dyDescent="0.55000000000000004">
      <c r="A128" s="9" t="s">
        <v>353</v>
      </c>
      <c r="B128" s="9" t="s">
        <v>400</v>
      </c>
      <c r="C128" s="9" t="s">
        <v>26</v>
      </c>
      <c r="D128" s="10">
        <v>41</v>
      </c>
      <c r="E128" s="9" t="s">
        <v>416</v>
      </c>
      <c r="F128" s="15" t="s">
        <v>416</v>
      </c>
      <c r="G128" s="11">
        <v>175.56</v>
      </c>
      <c r="H128" s="14">
        <v>46539</v>
      </c>
      <c r="I128" s="13">
        <f t="shared" ca="1" si="1"/>
        <v>470</v>
      </c>
      <c r="J128" s="9" t="str">
        <f>_xlfn.XLOOKUP('Item Inventory'!C157,Table1[Category],Table1[ABC_Class],0)</f>
        <v>A</v>
      </c>
      <c r="K128" s="9" t="str">
        <f>_xlfn.XLOOKUP(C128,Table1[Category],Table1[FSN_Class],0)</f>
        <v>F</v>
      </c>
    </row>
    <row r="129" spans="1:11" ht="25.5" x14ac:dyDescent="0.55000000000000004">
      <c r="A129" s="9" t="s">
        <v>346</v>
      </c>
      <c r="B129" s="9" t="s">
        <v>379</v>
      </c>
      <c r="C129" s="9" t="s">
        <v>415</v>
      </c>
      <c r="D129" s="10">
        <v>65</v>
      </c>
      <c r="E129" s="9" t="s">
        <v>416</v>
      </c>
      <c r="F129" s="15" t="s">
        <v>416</v>
      </c>
      <c r="G129" s="11">
        <v>54</v>
      </c>
      <c r="H129" s="14">
        <v>46905</v>
      </c>
      <c r="I129" s="13">
        <f t="shared" ca="1" si="1"/>
        <v>836</v>
      </c>
      <c r="J129" s="9" t="s">
        <v>469</v>
      </c>
      <c r="K129" s="9" t="s">
        <v>474</v>
      </c>
    </row>
    <row r="130" spans="1:11" ht="25.5" x14ac:dyDescent="0.55000000000000004">
      <c r="A130" s="9" t="s">
        <v>326</v>
      </c>
      <c r="B130" s="9" t="s">
        <v>178</v>
      </c>
      <c r="C130" s="9" t="s">
        <v>12</v>
      </c>
      <c r="D130" s="10">
        <v>37</v>
      </c>
      <c r="E130" s="9" t="s">
        <v>192</v>
      </c>
      <c r="F130" s="11">
        <v>72.545454545454533</v>
      </c>
      <c r="G130" s="11">
        <v>79.8</v>
      </c>
      <c r="H130" s="12">
        <f>_xlfn.XLOOKUP(B130,'[1]Raw Data Sales'!$B:$B,'[1]Raw Data Sales'!$G:$G,0)</f>
        <v>46508</v>
      </c>
      <c r="I130" s="13">
        <f t="shared" ca="1" si="1"/>
        <v>439</v>
      </c>
      <c r="J130" s="9" t="str">
        <f>_xlfn.XLOOKUP('Item Inventory'!C130,Table1[Category],Table1[ABC_Class],0)</f>
        <v>A</v>
      </c>
      <c r="K130" s="9" t="str">
        <f>_xlfn.XLOOKUP(C130,Table1[Category],Table1[FSN_Class],0)</f>
        <v>F</v>
      </c>
    </row>
    <row r="131" spans="1:11" ht="25.5" x14ac:dyDescent="0.55000000000000004">
      <c r="A131" s="9" t="s">
        <v>327</v>
      </c>
      <c r="B131" s="9" t="s">
        <v>129</v>
      </c>
      <c r="C131" s="9" t="s">
        <v>26</v>
      </c>
      <c r="D131" s="10">
        <v>86</v>
      </c>
      <c r="E131" s="9" t="s">
        <v>151</v>
      </c>
      <c r="F131" s="11">
        <v>46.609090909090909</v>
      </c>
      <c r="G131" s="11">
        <v>51.27</v>
      </c>
      <c r="H131" s="12">
        <f>_xlfn.XLOOKUP(B131,'[1]Raw Data Sales'!$B:$B,'[1]Raw Data Sales'!$G:$G,0)</f>
        <v>47761</v>
      </c>
      <c r="I131" s="13">
        <f t="shared" ca="1" si="1"/>
        <v>1692</v>
      </c>
      <c r="J131" s="9" t="str">
        <f>_xlfn.XLOOKUP('Item Inventory'!C131,Table1[Category],Table1[ABC_Class],0)</f>
        <v>A</v>
      </c>
      <c r="K131" s="9" t="str">
        <f>_xlfn.XLOOKUP(C131,Table1[Category],Table1[FSN_Class],0)</f>
        <v>F</v>
      </c>
    </row>
    <row r="132" spans="1:11" ht="25.5" x14ac:dyDescent="0.55000000000000004">
      <c r="A132" s="9" t="s">
        <v>328</v>
      </c>
      <c r="B132" s="9" t="s">
        <v>130</v>
      </c>
      <c r="C132" s="9" t="s">
        <v>39</v>
      </c>
      <c r="D132" s="10">
        <v>92</v>
      </c>
      <c r="E132" s="9" t="s">
        <v>151</v>
      </c>
      <c r="F132" s="11">
        <v>183.46363636363634</v>
      </c>
      <c r="G132" s="11">
        <v>201.81</v>
      </c>
      <c r="H132" s="12">
        <f>_xlfn.XLOOKUP(B132,'[1]Raw Data Sales'!$B:$B,'[1]Raw Data Sales'!$G:$G,0)</f>
        <v>46266</v>
      </c>
      <c r="I132" s="13">
        <f t="shared" ref="I132:I195" ca="1" si="2">H132-TODAY()</f>
        <v>197</v>
      </c>
      <c r="J132" s="9" t="str">
        <f>_xlfn.XLOOKUP('Item Inventory'!C132,Table1[Category],Table1[ABC_Class],0)</f>
        <v>C</v>
      </c>
      <c r="K132" s="9" t="str">
        <f>_xlfn.XLOOKUP(C132,Table1[Category],Table1[FSN_Class],0)</f>
        <v>S</v>
      </c>
    </row>
    <row r="133" spans="1:11" ht="25.5" x14ac:dyDescent="0.55000000000000004">
      <c r="A133" s="9" t="s">
        <v>329</v>
      </c>
      <c r="B133" s="9" t="s">
        <v>179</v>
      </c>
      <c r="C133" s="9" t="s">
        <v>41</v>
      </c>
      <c r="D133" s="10">
        <v>34</v>
      </c>
      <c r="E133" s="9" t="s">
        <v>192</v>
      </c>
      <c r="F133" s="11">
        <v>506.49090909090904</v>
      </c>
      <c r="G133" s="11">
        <v>557.14</v>
      </c>
      <c r="H133" s="12">
        <f>_xlfn.XLOOKUP(B133,'[1]Raw Data Sales'!$B:$B,'[1]Raw Data Sales'!$G:$G,0)</f>
        <v>46539</v>
      </c>
      <c r="I133" s="13">
        <f t="shared" ca="1" si="2"/>
        <v>470</v>
      </c>
      <c r="J133" s="9" t="str">
        <f>_xlfn.XLOOKUP('Item Inventory'!C133,Table1[Category],Table1[ABC_Class],0)</f>
        <v>A</v>
      </c>
      <c r="K133" s="9" t="str">
        <f>_xlfn.XLOOKUP(C133,Table1[Category],Table1[FSN_Class],0)</f>
        <v>S</v>
      </c>
    </row>
    <row r="134" spans="1:11" ht="25.5" x14ac:dyDescent="0.55000000000000004">
      <c r="A134" s="9" t="s">
        <v>330</v>
      </c>
      <c r="B134" s="9" t="s">
        <v>180</v>
      </c>
      <c r="C134" s="9" t="s">
        <v>43</v>
      </c>
      <c r="D134" s="10">
        <v>42</v>
      </c>
      <c r="E134" s="9" t="s">
        <v>192</v>
      </c>
      <c r="F134" s="11">
        <v>17.09090909090909</v>
      </c>
      <c r="G134" s="11">
        <v>18.8</v>
      </c>
      <c r="H134" s="12">
        <f>_xlfn.XLOOKUP(B134,'[1]Raw Data Sales'!$B:$B,'[1]Raw Data Sales'!$G:$G,0)</f>
        <v>46569</v>
      </c>
      <c r="I134" s="13">
        <f t="shared" ca="1" si="2"/>
        <v>500</v>
      </c>
      <c r="J134" s="9" t="str">
        <f>_xlfn.XLOOKUP('Item Inventory'!C134,Table1[Category],Table1[ABC_Class],0)</f>
        <v>A</v>
      </c>
      <c r="K134" s="9" t="str">
        <f>_xlfn.XLOOKUP(C134,Table1[Category],Table1[FSN_Class],0)</f>
        <v>F</v>
      </c>
    </row>
    <row r="135" spans="1:11" ht="25.5" x14ac:dyDescent="0.55000000000000004">
      <c r="A135" s="9" t="s">
        <v>331</v>
      </c>
      <c r="B135" s="9" t="s">
        <v>181</v>
      </c>
      <c r="C135" s="9" t="s">
        <v>12</v>
      </c>
      <c r="D135" s="10">
        <v>66</v>
      </c>
      <c r="E135" s="9" t="s">
        <v>192</v>
      </c>
      <c r="F135" s="11">
        <v>89.609090909090895</v>
      </c>
      <c r="G135" s="11">
        <v>98.57</v>
      </c>
      <c r="H135" s="12">
        <f>_xlfn.XLOOKUP(B135,'[1]Raw Data Sales'!$B:$B,'[1]Raw Data Sales'!$G:$G,0)</f>
        <v>46569</v>
      </c>
      <c r="I135" s="13">
        <f t="shared" ca="1" si="2"/>
        <v>500</v>
      </c>
      <c r="J135" s="9" t="str">
        <f>_xlfn.XLOOKUP('Item Inventory'!C135,Table1[Category],Table1[ABC_Class],0)</f>
        <v>A</v>
      </c>
      <c r="K135" s="9" t="str">
        <f>_xlfn.XLOOKUP(C135,Table1[Category],Table1[FSN_Class],0)</f>
        <v>F</v>
      </c>
    </row>
    <row r="136" spans="1:11" ht="25.5" x14ac:dyDescent="0.55000000000000004">
      <c r="A136" s="9" t="s">
        <v>332</v>
      </c>
      <c r="B136" s="9" t="s">
        <v>131</v>
      </c>
      <c r="C136" s="9" t="s">
        <v>47</v>
      </c>
      <c r="D136" s="10">
        <v>53</v>
      </c>
      <c r="E136" s="9" t="s">
        <v>151</v>
      </c>
      <c r="F136" s="11">
        <v>40.709090909090904</v>
      </c>
      <c r="G136" s="11">
        <v>44.78</v>
      </c>
      <c r="H136" s="12">
        <f>_xlfn.XLOOKUP(B136,'[1]Raw Data Sales'!$B:$B,'[1]Raw Data Sales'!$G:$G,0)</f>
        <v>46661</v>
      </c>
      <c r="I136" s="13">
        <f t="shared" ca="1" si="2"/>
        <v>592</v>
      </c>
      <c r="J136" s="9" t="str">
        <f>_xlfn.XLOOKUP('Item Inventory'!C136,Table1[Category],Table1[ABC_Class],0)</f>
        <v>B</v>
      </c>
      <c r="K136" s="9" t="str">
        <f>_xlfn.XLOOKUP(C136,Table1[Category],Table1[FSN_Class],0)</f>
        <v>F</v>
      </c>
    </row>
    <row r="137" spans="1:11" ht="25.5" x14ac:dyDescent="0.55000000000000004">
      <c r="A137" s="9" t="s">
        <v>345</v>
      </c>
      <c r="B137" s="9" t="s">
        <v>376</v>
      </c>
      <c r="C137" s="9" t="s">
        <v>415</v>
      </c>
      <c r="D137" s="10">
        <v>51</v>
      </c>
      <c r="E137" s="9" t="s">
        <v>416</v>
      </c>
      <c r="F137" s="15" t="s">
        <v>416</v>
      </c>
      <c r="G137" s="11">
        <v>143.37</v>
      </c>
      <c r="H137" s="14">
        <v>46266</v>
      </c>
      <c r="I137" s="13">
        <f t="shared" ca="1" si="2"/>
        <v>197</v>
      </c>
      <c r="J137" s="9" t="s">
        <v>469</v>
      </c>
      <c r="K137" s="9" t="s">
        <v>474</v>
      </c>
    </row>
    <row r="138" spans="1:11" ht="25.5" x14ac:dyDescent="0.55000000000000004">
      <c r="A138" s="9" t="s">
        <v>334</v>
      </c>
      <c r="B138" s="9" t="s">
        <v>132</v>
      </c>
      <c r="C138" s="9" t="s">
        <v>41</v>
      </c>
      <c r="D138" s="10">
        <v>56</v>
      </c>
      <c r="E138" s="9" t="s">
        <v>151</v>
      </c>
      <c r="F138" s="11">
        <v>89.418181818181807</v>
      </c>
      <c r="G138" s="11">
        <v>98.36</v>
      </c>
      <c r="H138" s="12">
        <f>_xlfn.XLOOKUP(B138,'[1]Raw Data Sales'!$B:$B,'[1]Raw Data Sales'!$G:$G,0)</f>
        <v>46600</v>
      </c>
      <c r="I138" s="13">
        <f t="shared" ca="1" si="2"/>
        <v>531</v>
      </c>
      <c r="J138" s="9" t="str">
        <f>_xlfn.XLOOKUP('Item Inventory'!C138,Table1[Category],Table1[ABC_Class],0)</f>
        <v>A</v>
      </c>
      <c r="K138" s="9" t="str">
        <f>_xlfn.XLOOKUP(C138,Table1[Category],Table1[FSN_Class],0)</f>
        <v>S</v>
      </c>
    </row>
    <row r="139" spans="1:11" ht="25.5" x14ac:dyDescent="0.55000000000000004">
      <c r="A139" s="9" t="s">
        <v>335</v>
      </c>
      <c r="B139" s="9" t="s">
        <v>132</v>
      </c>
      <c r="C139" s="9" t="s">
        <v>41</v>
      </c>
      <c r="D139" s="10">
        <v>60</v>
      </c>
      <c r="E139" s="9" t="s">
        <v>192</v>
      </c>
      <c r="F139" s="11">
        <v>89.454545454545453</v>
      </c>
      <c r="G139" s="11">
        <v>98.4</v>
      </c>
      <c r="H139" s="12">
        <f>_xlfn.XLOOKUP(B139,'[1]Raw Data Sales'!$B:$B,'[1]Raw Data Sales'!$G:$G,0)</f>
        <v>46600</v>
      </c>
      <c r="I139" s="13">
        <f t="shared" ca="1" si="2"/>
        <v>531</v>
      </c>
      <c r="J139" s="9" t="str">
        <f>_xlfn.XLOOKUP('Item Inventory'!C139,Table1[Category],Table1[ABC_Class],0)</f>
        <v>A</v>
      </c>
      <c r="K139" s="9" t="str">
        <f>_xlfn.XLOOKUP(C139,Table1[Category],Table1[FSN_Class],0)</f>
        <v>S</v>
      </c>
    </row>
    <row r="140" spans="1:11" ht="25.5" x14ac:dyDescent="0.55000000000000004">
      <c r="A140" s="9" t="s">
        <v>344</v>
      </c>
      <c r="B140" s="9" t="s">
        <v>392</v>
      </c>
      <c r="C140" s="9" t="s">
        <v>415</v>
      </c>
      <c r="D140" s="10">
        <v>82</v>
      </c>
      <c r="E140" s="9" t="s">
        <v>416</v>
      </c>
      <c r="F140" s="15" t="s">
        <v>416</v>
      </c>
      <c r="G140" s="11">
        <v>199</v>
      </c>
      <c r="H140" s="14">
        <v>45809</v>
      </c>
      <c r="I140" s="13">
        <f t="shared" ca="1" si="2"/>
        <v>-260</v>
      </c>
      <c r="J140" s="9" t="s">
        <v>469</v>
      </c>
      <c r="K140" s="9" t="s">
        <v>474</v>
      </c>
    </row>
    <row r="141" spans="1:11" ht="25.5" x14ac:dyDescent="0.55000000000000004">
      <c r="A141" s="9" t="s">
        <v>337</v>
      </c>
      <c r="B141" s="9" t="s">
        <v>75</v>
      </c>
      <c r="C141" s="9" t="s">
        <v>12</v>
      </c>
      <c r="D141" s="10">
        <v>99</v>
      </c>
      <c r="E141" s="9" t="s">
        <v>81</v>
      </c>
      <c r="F141" s="11">
        <v>306</v>
      </c>
      <c r="G141" s="11">
        <v>336.6</v>
      </c>
      <c r="H141" s="12">
        <f>_xlfn.XLOOKUP(B141,'[1]Raw Data Sales'!$B:$B,'[1]Raw Data Sales'!$G:$G,0)</f>
        <v>46508</v>
      </c>
      <c r="I141" s="13">
        <f t="shared" ca="1" si="2"/>
        <v>439</v>
      </c>
      <c r="J141" s="9" t="str">
        <f>_xlfn.XLOOKUP('Item Inventory'!C141,Table1[Category],Table1[ABC_Class],0)</f>
        <v>A</v>
      </c>
      <c r="K141" s="9" t="str">
        <f>_xlfn.XLOOKUP(C141,Table1[Category],Table1[FSN_Class],0)</f>
        <v>F</v>
      </c>
    </row>
    <row r="142" spans="1:11" ht="25.5" x14ac:dyDescent="0.55000000000000004">
      <c r="A142" s="9" t="s">
        <v>338</v>
      </c>
      <c r="B142" s="9" t="s">
        <v>193</v>
      </c>
      <c r="C142" s="9" t="s">
        <v>14</v>
      </c>
      <c r="D142" s="10">
        <v>41</v>
      </c>
      <c r="E142" s="9" t="s">
        <v>194</v>
      </c>
      <c r="F142" s="11">
        <v>369.18181818181819</v>
      </c>
      <c r="G142" s="11">
        <v>406.1</v>
      </c>
      <c r="H142" s="12">
        <f>_xlfn.XLOOKUP(B142,'[1]Raw Data Sales'!$B:$B,'[1]Raw Data Sales'!$G:$G,0)</f>
        <v>46508</v>
      </c>
      <c r="I142" s="13">
        <f t="shared" ca="1" si="2"/>
        <v>439</v>
      </c>
      <c r="J142" s="9" t="str">
        <f>_xlfn.XLOOKUP('Item Inventory'!C142,Table1[Category],Table1[ABC_Class],0)</f>
        <v>A</v>
      </c>
      <c r="K142" s="9" t="str">
        <f>_xlfn.XLOOKUP(C142,Table1[Category],Table1[FSN_Class],0)</f>
        <v>F</v>
      </c>
    </row>
    <row r="143" spans="1:11" ht="25.5" x14ac:dyDescent="0.55000000000000004">
      <c r="A143" s="9" t="s">
        <v>339</v>
      </c>
      <c r="B143" s="9" t="s">
        <v>187</v>
      </c>
      <c r="C143" s="9" t="s">
        <v>14</v>
      </c>
      <c r="D143" s="10">
        <v>43</v>
      </c>
      <c r="E143" s="9" t="s">
        <v>192</v>
      </c>
      <c r="F143" s="11">
        <v>96.636363636363626</v>
      </c>
      <c r="G143" s="11">
        <v>106.3</v>
      </c>
      <c r="H143" s="12">
        <f>_xlfn.XLOOKUP(B143,'[1]Raw Data Sales'!$B:$B,'[1]Raw Data Sales'!$G:$G,0)</f>
        <v>46874</v>
      </c>
      <c r="I143" s="13">
        <f t="shared" ca="1" si="2"/>
        <v>805</v>
      </c>
      <c r="J143" s="9" t="str">
        <f>_xlfn.XLOOKUP('Item Inventory'!C143,Table1[Category],Table1[ABC_Class],0)</f>
        <v>A</v>
      </c>
      <c r="K143" s="9" t="str">
        <f>_xlfn.XLOOKUP(C143,Table1[Category],Table1[FSN_Class],0)</f>
        <v>F</v>
      </c>
    </row>
    <row r="144" spans="1:11" ht="25.5" x14ac:dyDescent="0.55000000000000004">
      <c r="A144" s="9" t="s">
        <v>340</v>
      </c>
      <c r="B144" s="9" t="s">
        <v>67</v>
      </c>
      <c r="C144" s="9" t="s">
        <v>14</v>
      </c>
      <c r="D144" s="10">
        <v>65</v>
      </c>
      <c r="E144" s="9" t="s">
        <v>69</v>
      </c>
      <c r="F144" s="11">
        <v>369.18181818181819</v>
      </c>
      <c r="G144" s="11">
        <v>406.1</v>
      </c>
      <c r="H144" s="12">
        <f>_xlfn.XLOOKUP(B144,'[1]Raw Data Sales'!$B:$B,'[1]Raw Data Sales'!$G:$G,0)</f>
        <v>46388</v>
      </c>
      <c r="I144" s="13">
        <f t="shared" ca="1" si="2"/>
        <v>319</v>
      </c>
      <c r="J144" s="9" t="str">
        <f>_xlfn.XLOOKUP('Item Inventory'!C144,Table1[Category],Table1[ABC_Class],0)</f>
        <v>A</v>
      </c>
      <c r="K144" s="9" t="str">
        <f>_xlfn.XLOOKUP(C144,Table1[Category],Table1[FSN_Class],0)</f>
        <v>F</v>
      </c>
    </row>
    <row r="145" spans="1:11" ht="25.5" x14ac:dyDescent="0.55000000000000004">
      <c r="A145" s="9" t="s">
        <v>341</v>
      </c>
      <c r="B145" s="9" t="s">
        <v>58</v>
      </c>
      <c r="C145" s="9" t="s">
        <v>14</v>
      </c>
      <c r="D145" s="10">
        <v>70</v>
      </c>
      <c r="E145" s="9" t="s">
        <v>66</v>
      </c>
      <c r="F145" s="11">
        <v>585.5181818181818</v>
      </c>
      <c r="G145" s="11">
        <v>644.07000000000005</v>
      </c>
      <c r="H145" s="12">
        <f>_xlfn.XLOOKUP(B145,'[1]Raw Data Sales'!$B:$B,'[1]Raw Data Sales'!$G:$G,0)</f>
        <v>46357</v>
      </c>
      <c r="I145" s="13">
        <f t="shared" ca="1" si="2"/>
        <v>288</v>
      </c>
      <c r="J145" s="9" t="str">
        <f>_xlfn.XLOOKUP('Item Inventory'!C145,Table1[Category],Table1[ABC_Class],0)</f>
        <v>A</v>
      </c>
      <c r="K145" s="9" t="str">
        <f>_xlfn.XLOOKUP(C145,Table1[Category],Table1[FSN_Class],0)</f>
        <v>F</v>
      </c>
    </row>
    <row r="146" spans="1:11" ht="25.5" x14ac:dyDescent="0.55000000000000004">
      <c r="A146" s="9" t="s">
        <v>342</v>
      </c>
      <c r="B146" s="9" t="s">
        <v>188</v>
      </c>
      <c r="C146" s="9" t="s">
        <v>14</v>
      </c>
      <c r="D146" s="10">
        <v>83</v>
      </c>
      <c r="E146" s="9" t="s">
        <v>192</v>
      </c>
      <c r="F146" s="11">
        <v>385.71818181818179</v>
      </c>
      <c r="G146" s="11">
        <v>424.29</v>
      </c>
      <c r="H146" s="12">
        <f>_xlfn.XLOOKUP(B146,'[1]Raw Data Sales'!$B:$B,'[1]Raw Data Sales'!$G:$G,0)</f>
        <v>46478</v>
      </c>
      <c r="I146" s="13">
        <f t="shared" ca="1" si="2"/>
        <v>409</v>
      </c>
      <c r="J146" s="9" t="str">
        <f>_xlfn.XLOOKUP('Item Inventory'!C146,Table1[Category],Table1[ABC_Class],0)</f>
        <v>A</v>
      </c>
      <c r="K146" s="9" t="str">
        <f>_xlfn.XLOOKUP(C146,Table1[Category],Table1[FSN_Class],0)</f>
        <v>F</v>
      </c>
    </row>
    <row r="147" spans="1:11" ht="25.5" x14ac:dyDescent="0.55000000000000004">
      <c r="A147" s="9" t="s">
        <v>343</v>
      </c>
      <c r="B147" s="9" t="s">
        <v>59</v>
      </c>
      <c r="C147" s="9" t="s">
        <v>43</v>
      </c>
      <c r="D147" s="10">
        <v>96</v>
      </c>
      <c r="E147" s="9" t="s">
        <v>66</v>
      </c>
      <c r="F147" s="11">
        <v>48.454545454545446</v>
      </c>
      <c r="G147" s="11">
        <v>53.3</v>
      </c>
      <c r="H147" s="12">
        <f>_xlfn.XLOOKUP(B147,'[1]Raw Data Sales'!$B:$B,'[1]Raw Data Sales'!$G:$G,0)</f>
        <v>46966</v>
      </c>
      <c r="I147" s="13">
        <f t="shared" ca="1" si="2"/>
        <v>897</v>
      </c>
      <c r="J147" s="9" t="str">
        <f>_xlfn.XLOOKUP('Item Inventory'!C147,Table1[Category],Table1[ABC_Class],0)</f>
        <v>A</v>
      </c>
      <c r="K147" s="9" t="str">
        <f>_xlfn.XLOOKUP(C147,Table1[Category],Table1[FSN_Class],0)</f>
        <v>F</v>
      </c>
    </row>
    <row r="148" spans="1:11" ht="25.5" x14ac:dyDescent="0.55000000000000004">
      <c r="A148" s="9" t="s">
        <v>336</v>
      </c>
      <c r="B148" s="9" t="s">
        <v>44</v>
      </c>
      <c r="C148" s="9" t="s">
        <v>14</v>
      </c>
      <c r="D148" s="10">
        <v>25</v>
      </c>
      <c r="E148" s="9" t="s">
        <v>66</v>
      </c>
      <c r="F148" s="11">
        <v>43.636363636363633</v>
      </c>
      <c r="G148" s="11">
        <v>48</v>
      </c>
      <c r="H148" s="14">
        <v>47058</v>
      </c>
      <c r="I148" s="13">
        <f t="shared" ca="1" si="2"/>
        <v>989</v>
      </c>
      <c r="J148" s="9" t="s">
        <v>467</v>
      </c>
      <c r="K148" s="9" t="str">
        <f>_xlfn.XLOOKUP(C148,Table1[Category],Table1[FSN_Class],0)</f>
        <v>F</v>
      </c>
    </row>
    <row r="149" spans="1:11" ht="25.5" x14ac:dyDescent="0.55000000000000004">
      <c r="A149" s="9" t="s">
        <v>333</v>
      </c>
      <c r="B149" s="9" t="s">
        <v>412</v>
      </c>
      <c r="C149" s="9" t="s">
        <v>47</v>
      </c>
      <c r="D149" s="10">
        <v>65</v>
      </c>
      <c r="E149" s="9" t="s">
        <v>416</v>
      </c>
      <c r="F149" s="15" t="s">
        <v>416</v>
      </c>
      <c r="G149" s="11">
        <v>76.88</v>
      </c>
      <c r="H149" s="14">
        <v>45658</v>
      </c>
      <c r="I149" s="13">
        <f t="shared" ca="1" si="2"/>
        <v>-411</v>
      </c>
      <c r="J149" s="9" t="s">
        <v>468</v>
      </c>
      <c r="K149" s="9" t="str">
        <f>_xlfn.XLOOKUP(C149,Table1[Category],Table1[FSN_Class],0)</f>
        <v>F</v>
      </c>
    </row>
    <row r="150" spans="1:11" ht="25.5" x14ac:dyDescent="0.55000000000000004">
      <c r="A150" s="9" t="s">
        <v>325</v>
      </c>
      <c r="B150" s="9" t="s">
        <v>370</v>
      </c>
      <c r="C150" s="9" t="s">
        <v>12</v>
      </c>
      <c r="D150" s="10">
        <v>85</v>
      </c>
      <c r="E150" s="9" t="s">
        <v>416</v>
      </c>
      <c r="F150" s="15" t="s">
        <v>416</v>
      </c>
      <c r="G150" s="11">
        <v>169</v>
      </c>
      <c r="H150" s="14">
        <v>46023</v>
      </c>
      <c r="I150" s="13">
        <f t="shared" ca="1" si="2"/>
        <v>-46</v>
      </c>
      <c r="J150" s="9" t="s">
        <v>467</v>
      </c>
      <c r="K150" s="9" t="str">
        <f>_xlfn.XLOOKUP(C150,Table1[Category],Table1[FSN_Class],0)</f>
        <v>F</v>
      </c>
    </row>
    <row r="151" spans="1:11" ht="25.5" x14ac:dyDescent="0.55000000000000004">
      <c r="A151" s="9" t="s">
        <v>347</v>
      </c>
      <c r="B151" s="9" t="s">
        <v>70</v>
      </c>
      <c r="C151" s="9" t="s">
        <v>41</v>
      </c>
      <c r="D151" s="10">
        <v>93</v>
      </c>
      <c r="E151" s="9" t="s">
        <v>69</v>
      </c>
      <c r="F151" s="11">
        <v>616.88181818181818</v>
      </c>
      <c r="G151" s="11">
        <v>678.57</v>
      </c>
      <c r="H151" s="12">
        <f>_xlfn.XLOOKUP(B151,'[1]Raw Data Sales'!$B:$B,'[1]Raw Data Sales'!$G:$G,0)</f>
        <v>46478</v>
      </c>
      <c r="I151" s="13">
        <f t="shared" ca="1" si="2"/>
        <v>409</v>
      </c>
      <c r="J151" s="9" t="str">
        <f>_xlfn.XLOOKUP('Item Inventory'!C151,Table1[Category],Table1[ABC_Class],0)</f>
        <v>A</v>
      </c>
      <c r="K151" s="9" t="str">
        <f>_xlfn.XLOOKUP(C151,Table1[Category],Table1[FSN_Class],0)</f>
        <v>S</v>
      </c>
    </row>
    <row r="152" spans="1:11" ht="25.5" x14ac:dyDescent="0.55000000000000004">
      <c r="A152" s="9" t="s">
        <v>348</v>
      </c>
      <c r="B152" s="9" t="s">
        <v>25</v>
      </c>
      <c r="C152" s="9" t="s">
        <v>26</v>
      </c>
      <c r="D152" s="10">
        <v>48</v>
      </c>
      <c r="E152" s="9" t="s">
        <v>27</v>
      </c>
      <c r="F152" s="11">
        <v>187.0090909090909</v>
      </c>
      <c r="G152" s="11">
        <v>205.71</v>
      </c>
      <c r="H152" s="12">
        <f>_xlfn.XLOOKUP(B152,'[1]Raw Data Sales'!$B:$B,'[1]Raw Data Sales'!$G:$G,0)</f>
        <v>46327</v>
      </c>
      <c r="I152" s="13">
        <f t="shared" ca="1" si="2"/>
        <v>258</v>
      </c>
      <c r="J152" s="9" t="str">
        <f>_xlfn.XLOOKUP('Item Inventory'!C152,Table1[Category],Table1[ABC_Class],0)</f>
        <v>A</v>
      </c>
      <c r="K152" s="9" t="str">
        <f>_xlfn.XLOOKUP(C152,Table1[Category],Table1[FSN_Class],0)</f>
        <v>F</v>
      </c>
    </row>
    <row r="153" spans="1:11" ht="25.5" x14ac:dyDescent="0.55000000000000004">
      <c r="A153" s="9" t="s">
        <v>349</v>
      </c>
      <c r="B153" s="9" t="s">
        <v>189</v>
      </c>
      <c r="C153" s="9" t="s">
        <v>14</v>
      </c>
      <c r="D153" s="10">
        <v>33</v>
      </c>
      <c r="E153" s="9" t="s">
        <v>192</v>
      </c>
      <c r="F153" s="11">
        <v>275.97272727272724</v>
      </c>
      <c r="G153" s="11">
        <v>303.57</v>
      </c>
      <c r="H153" s="12">
        <f>_xlfn.XLOOKUP(B153,'[1]Raw Data Sales'!$B:$B,'[1]Raw Data Sales'!$G:$G,0)</f>
        <v>46419</v>
      </c>
      <c r="I153" s="13">
        <f t="shared" ca="1" si="2"/>
        <v>350</v>
      </c>
      <c r="J153" s="9" t="str">
        <f>_xlfn.XLOOKUP('Item Inventory'!C153,Table1[Category],Table1[ABC_Class],0)</f>
        <v>A</v>
      </c>
      <c r="K153" s="9" t="str">
        <f>_xlfn.XLOOKUP(C153,Table1[Category],Table1[FSN_Class],0)</f>
        <v>F</v>
      </c>
    </row>
    <row r="154" spans="1:11" ht="25.5" x14ac:dyDescent="0.55000000000000004">
      <c r="A154" s="9" t="s">
        <v>350</v>
      </c>
      <c r="B154" s="9" t="s">
        <v>60</v>
      </c>
      <c r="C154" s="9" t="s">
        <v>14</v>
      </c>
      <c r="D154" s="10">
        <v>69</v>
      </c>
      <c r="E154" s="9" t="s">
        <v>66</v>
      </c>
      <c r="F154" s="11">
        <v>794.31818181818176</v>
      </c>
      <c r="G154" s="11">
        <v>873.75</v>
      </c>
      <c r="H154" s="12">
        <f>_xlfn.XLOOKUP(B154,'[1]Raw Data Sales'!$B:$B,'[1]Raw Data Sales'!$G:$G,0)</f>
        <v>46508</v>
      </c>
      <c r="I154" s="13">
        <f t="shared" ca="1" si="2"/>
        <v>439</v>
      </c>
      <c r="J154" s="9" t="str">
        <f>_xlfn.XLOOKUP('Item Inventory'!C154,Table1[Category],Table1[ABC_Class],0)</f>
        <v>A</v>
      </c>
      <c r="K154" s="9" t="str">
        <f>_xlfn.XLOOKUP(C154,Table1[Category],Table1[FSN_Class],0)</f>
        <v>F</v>
      </c>
    </row>
    <row r="155" spans="1:11" ht="25.5" x14ac:dyDescent="0.55000000000000004">
      <c r="A155" s="9" t="s">
        <v>351</v>
      </c>
      <c r="B155" s="9" t="s">
        <v>61</v>
      </c>
      <c r="C155" s="9" t="s">
        <v>12</v>
      </c>
      <c r="D155" s="10">
        <v>68</v>
      </c>
      <c r="E155" s="9" t="s">
        <v>66</v>
      </c>
      <c r="F155" s="11">
        <v>238</v>
      </c>
      <c r="G155" s="11">
        <v>261.8</v>
      </c>
      <c r="H155" s="12">
        <f>_xlfn.XLOOKUP(B155,'[1]Raw Data Sales'!$B:$B,'[1]Raw Data Sales'!$G:$G,0)</f>
        <v>46508</v>
      </c>
      <c r="I155" s="13">
        <f t="shared" ca="1" si="2"/>
        <v>439</v>
      </c>
      <c r="J155" s="9" t="str">
        <f>_xlfn.XLOOKUP('Item Inventory'!C155,Table1[Category],Table1[ABC_Class],0)</f>
        <v>A</v>
      </c>
      <c r="K155" s="9" t="str">
        <f>_xlfn.XLOOKUP(C155,Table1[Category],Table1[FSN_Class],0)</f>
        <v>F</v>
      </c>
    </row>
    <row r="156" spans="1:11" ht="25.5" x14ac:dyDescent="0.55000000000000004">
      <c r="A156" s="9" t="s">
        <v>352</v>
      </c>
      <c r="B156" s="9" t="s">
        <v>61</v>
      </c>
      <c r="C156" s="9" t="s">
        <v>12</v>
      </c>
      <c r="D156" s="10">
        <v>21</v>
      </c>
      <c r="E156" s="9" t="s">
        <v>81</v>
      </c>
      <c r="F156" s="11">
        <v>238</v>
      </c>
      <c r="G156" s="11">
        <v>261.8</v>
      </c>
      <c r="H156" s="12">
        <f>_xlfn.XLOOKUP(B156,'[1]Raw Data Sales'!$B:$B,'[1]Raw Data Sales'!$G:$G,0)</f>
        <v>46508</v>
      </c>
      <c r="I156" s="13">
        <f t="shared" ca="1" si="2"/>
        <v>439</v>
      </c>
      <c r="J156" s="9" t="str">
        <f>_xlfn.XLOOKUP('Item Inventory'!C156,Table1[Category],Table1[ABC_Class],0)</f>
        <v>A</v>
      </c>
      <c r="K156" s="9" t="str">
        <f>_xlfn.XLOOKUP(C156,Table1[Category],Table1[FSN_Class],0)</f>
        <v>F</v>
      </c>
    </row>
    <row r="157" spans="1:11" ht="25.5" x14ac:dyDescent="0.55000000000000004">
      <c r="A157" s="9" t="s">
        <v>324</v>
      </c>
      <c r="B157" s="9" t="s">
        <v>388</v>
      </c>
      <c r="C157" s="9" t="s">
        <v>26</v>
      </c>
      <c r="D157" s="10">
        <v>47</v>
      </c>
      <c r="E157" s="9" t="s">
        <v>416</v>
      </c>
      <c r="F157" s="15" t="s">
        <v>416</v>
      </c>
      <c r="G157" s="11">
        <v>221.35</v>
      </c>
      <c r="H157" s="14">
        <v>46082</v>
      </c>
      <c r="I157" s="13">
        <f t="shared" ca="1" si="2"/>
        <v>13</v>
      </c>
      <c r="J157" s="9" t="str">
        <f>_xlfn.XLOOKUP('Item Inventory'!C128,Table1[Category],Table1[ABC_Class],0)</f>
        <v>A</v>
      </c>
      <c r="K157" s="9" t="str">
        <f>_xlfn.XLOOKUP(C157,Table1[Category],Table1[FSN_Class],0)</f>
        <v>F</v>
      </c>
    </row>
    <row r="158" spans="1:11" ht="25.5" x14ac:dyDescent="0.55000000000000004">
      <c r="A158" s="9" t="s">
        <v>323</v>
      </c>
      <c r="B158" s="9" t="s">
        <v>396</v>
      </c>
      <c r="C158" s="9" t="s">
        <v>415</v>
      </c>
      <c r="D158" s="10">
        <v>68</v>
      </c>
      <c r="E158" s="9" t="s">
        <v>416</v>
      </c>
      <c r="F158" s="15" t="s">
        <v>416</v>
      </c>
      <c r="G158" s="11">
        <v>274.75</v>
      </c>
      <c r="H158" s="14">
        <v>46753</v>
      </c>
      <c r="I158" s="13">
        <f t="shared" ca="1" si="2"/>
        <v>684</v>
      </c>
      <c r="J158" s="9" t="s">
        <v>469</v>
      </c>
      <c r="K158" s="9" t="s">
        <v>474</v>
      </c>
    </row>
    <row r="159" spans="1:11" ht="25.5" x14ac:dyDescent="0.55000000000000004">
      <c r="A159" s="9" t="s">
        <v>355</v>
      </c>
      <c r="B159" s="9" t="s">
        <v>62</v>
      </c>
      <c r="C159" s="9" t="s">
        <v>43</v>
      </c>
      <c r="D159" s="10">
        <v>79</v>
      </c>
      <c r="E159" s="9" t="s">
        <v>66</v>
      </c>
      <c r="F159" s="11">
        <v>161.69090909090909</v>
      </c>
      <c r="G159" s="11">
        <v>177.86</v>
      </c>
      <c r="H159" s="12">
        <f>_xlfn.XLOOKUP(B159,'[1]Raw Data Sales'!$B:$B,'[1]Raw Data Sales'!$G:$G,0)</f>
        <v>46539</v>
      </c>
      <c r="I159" s="13">
        <f t="shared" ca="1" si="2"/>
        <v>470</v>
      </c>
      <c r="J159" s="9" t="str">
        <f>_xlfn.XLOOKUP('Item Inventory'!C159,Table1[Category],Table1[ABC_Class],0)</f>
        <v>A</v>
      </c>
      <c r="K159" s="9" t="str">
        <f>_xlfn.XLOOKUP(C159,Table1[Category],Table1[FSN_Class],0)</f>
        <v>F</v>
      </c>
    </row>
    <row r="160" spans="1:11" ht="25.5" x14ac:dyDescent="0.55000000000000004">
      <c r="A160" s="9" t="s">
        <v>356</v>
      </c>
      <c r="B160" s="9" t="s">
        <v>63</v>
      </c>
      <c r="C160" s="9" t="s">
        <v>64</v>
      </c>
      <c r="D160" s="10">
        <v>56</v>
      </c>
      <c r="E160" s="9" t="s">
        <v>66</v>
      </c>
      <c r="F160" s="11">
        <v>292.20909090909089</v>
      </c>
      <c r="G160" s="11">
        <v>321.43</v>
      </c>
      <c r="H160" s="12">
        <f>_xlfn.XLOOKUP(B160,'[1]Raw Data Sales'!$B:$B,'[1]Raw Data Sales'!$G:$G,0)</f>
        <v>46478</v>
      </c>
      <c r="I160" s="13">
        <f t="shared" ca="1" si="2"/>
        <v>409</v>
      </c>
      <c r="J160" s="9" t="str">
        <f>_xlfn.XLOOKUP('Item Inventory'!C160,Table1[Category],Table1[ABC_Class],0)</f>
        <v>C</v>
      </c>
      <c r="K160" s="9" t="str">
        <f>_xlfn.XLOOKUP(C160,Table1[Category],Table1[FSN_Class],0)</f>
        <v>N</v>
      </c>
    </row>
    <row r="161" spans="1:11" ht="25.5" x14ac:dyDescent="0.55000000000000004">
      <c r="A161" s="9" t="s">
        <v>357</v>
      </c>
      <c r="B161" s="9" t="s">
        <v>36</v>
      </c>
      <c r="C161" s="9" t="s">
        <v>26</v>
      </c>
      <c r="D161" s="10">
        <v>62</v>
      </c>
      <c r="E161" s="9" t="s">
        <v>66</v>
      </c>
      <c r="F161" s="11">
        <v>10.909090909090908</v>
      </c>
      <c r="G161" s="11">
        <v>12</v>
      </c>
      <c r="H161" s="12">
        <f>_xlfn.XLOOKUP(B161,'[1]Raw Data Sales'!$B:$B,'[1]Raw Data Sales'!$G:$G,0)</f>
        <v>46813</v>
      </c>
      <c r="I161" s="13">
        <f t="shared" ca="1" si="2"/>
        <v>744</v>
      </c>
      <c r="J161" s="9" t="str">
        <f>_xlfn.XLOOKUP('Item Inventory'!C161,Table1[Category],Table1[ABC_Class],0)</f>
        <v>A</v>
      </c>
      <c r="K161" s="9" t="str">
        <f>_xlfn.XLOOKUP(C161,Table1[Category],Table1[FSN_Class],0)</f>
        <v>F</v>
      </c>
    </row>
    <row r="162" spans="1:11" ht="25.5" x14ac:dyDescent="0.55000000000000004">
      <c r="A162" s="9" t="s">
        <v>358</v>
      </c>
      <c r="B162" s="9" t="s">
        <v>36</v>
      </c>
      <c r="C162" s="9" t="s">
        <v>26</v>
      </c>
      <c r="D162" s="10">
        <v>58</v>
      </c>
      <c r="E162" s="9" t="s">
        <v>66</v>
      </c>
      <c r="F162" s="11">
        <v>10.909090909090908</v>
      </c>
      <c r="G162" s="11">
        <v>12</v>
      </c>
      <c r="H162" s="12">
        <f>_xlfn.XLOOKUP(B162,'[1]Raw Data Sales'!$B:$B,'[1]Raw Data Sales'!$G:$G,0)</f>
        <v>46813</v>
      </c>
      <c r="I162" s="13">
        <f t="shared" ca="1" si="2"/>
        <v>744</v>
      </c>
      <c r="J162" s="9" t="str">
        <f>_xlfn.XLOOKUP('Item Inventory'!C162,Table1[Category],Table1[ABC_Class],0)</f>
        <v>A</v>
      </c>
      <c r="K162" s="9" t="str">
        <f>_xlfn.XLOOKUP(C162,Table1[Category],Table1[FSN_Class],0)</f>
        <v>F</v>
      </c>
    </row>
    <row r="163" spans="1:11" ht="25.5" x14ac:dyDescent="0.55000000000000004">
      <c r="A163" s="9" t="s">
        <v>322</v>
      </c>
      <c r="B163" s="9" t="s">
        <v>28</v>
      </c>
      <c r="C163" s="9" t="s">
        <v>14</v>
      </c>
      <c r="D163" s="10">
        <v>58</v>
      </c>
      <c r="E163" s="9" t="s">
        <v>66</v>
      </c>
      <c r="F163" s="11">
        <v>178.28181818181818</v>
      </c>
      <c r="G163" s="11">
        <v>196.11</v>
      </c>
      <c r="H163" s="14">
        <v>46997</v>
      </c>
      <c r="I163" s="13">
        <f t="shared" ca="1" si="2"/>
        <v>928</v>
      </c>
      <c r="J163" s="9" t="str">
        <f>_xlfn.XLOOKUP('Item Inventory'!C126,Table1[Category],Table1[ABC_Class],0)</f>
        <v>A</v>
      </c>
      <c r="K163" s="9" t="str">
        <f>_xlfn.XLOOKUP(C163,Table1[Category],Table1[FSN_Class],0)</f>
        <v>F</v>
      </c>
    </row>
    <row r="164" spans="1:11" ht="25.5" x14ac:dyDescent="0.55000000000000004">
      <c r="A164" s="9" t="s">
        <v>360</v>
      </c>
      <c r="B164" s="9" t="s">
        <v>65</v>
      </c>
      <c r="C164" s="9" t="s">
        <v>14</v>
      </c>
      <c r="D164" s="10">
        <v>55</v>
      </c>
      <c r="E164" s="9" t="s">
        <v>66</v>
      </c>
      <c r="F164" s="11">
        <v>122.64545454545453</v>
      </c>
      <c r="G164" s="11">
        <v>134.91</v>
      </c>
      <c r="H164" s="12">
        <f>_xlfn.XLOOKUP(B164,'[1]Raw Data Sales'!$B:$B,'[1]Raw Data Sales'!$G:$G,0)</f>
        <v>46905</v>
      </c>
      <c r="I164" s="13">
        <f t="shared" ca="1" si="2"/>
        <v>836</v>
      </c>
      <c r="J164" s="9" t="str">
        <f>_xlfn.XLOOKUP('Item Inventory'!C164,Table1[Category],Table1[ABC_Class],0)</f>
        <v>A</v>
      </c>
      <c r="K164" s="9" t="str">
        <f>_xlfn.XLOOKUP(C164,Table1[Category],Table1[FSN_Class],0)</f>
        <v>F</v>
      </c>
    </row>
    <row r="165" spans="1:11" ht="25.5" x14ac:dyDescent="0.55000000000000004">
      <c r="A165" s="9" t="s">
        <v>310</v>
      </c>
      <c r="B165" s="9" t="s">
        <v>386</v>
      </c>
      <c r="C165" s="9" t="s">
        <v>26</v>
      </c>
      <c r="D165" s="10">
        <v>57</v>
      </c>
      <c r="E165" s="9" t="s">
        <v>416</v>
      </c>
      <c r="F165" s="15" t="s">
        <v>416</v>
      </c>
      <c r="G165" s="11">
        <v>247.5</v>
      </c>
      <c r="H165" s="14">
        <v>46174</v>
      </c>
      <c r="I165" s="13">
        <f t="shared" ca="1" si="2"/>
        <v>105</v>
      </c>
      <c r="J165" s="9" t="str">
        <f>_xlfn.XLOOKUP('Item Inventory'!C114,Table1[Category],Table1[ABC_Class],0)</f>
        <v>B</v>
      </c>
      <c r="K165" s="9" t="str">
        <f>_xlfn.XLOOKUP(C165,Table1[Category],Table1[FSN_Class],0)</f>
        <v>F</v>
      </c>
    </row>
    <row r="166" spans="1:11" ht="25.5" x14ac:dyDescent="0.55000000000000004">
      <c r="A166" s="9" t="s">
        <v>309</v>
      </c>
      <c r="B166" s="9" t="s">
        <v>384</v>
      </c>
      <c r="C166" s="9" t="s">
        <v>14</v>
      </c>
      <c r="D166" s="10">
        <v>92</v>
      </c>
      <c r="E166" s="9" t="s">
        <v>416</v>
      </c>
      <c r="F166" s="15" t="s">
        <v>416</v>
      </c>
      <c r="G166" s="11">
        <v>305</v>
      </c>
      <c r="H166" s="14">
        <v>46082</v>
      </c>
      <c r="I166" s="13">
        <f t="shared" ca="1" si="2"/>
        <v>13</v>
      </c>
      <c r="J166" s="9" t="str">
        <f>_xlfn.XLOOKUP('Item Inventory'!C113,Table1[Category],Table1[ABC_Class],0)</f>
        <v>B</v>
      </c>
      <c r="K166" s="9" t="str">
        <f>_xlfn.XLOOKUP(C166,Table1[Category],Table1[FSN_Class],0)</f>
        <v>F</v>
      </c>
    </row>
    <row r="167" spans="1:11" ht="25.5" x14ac:dyDescent="0.55000000000000004">
      <c r="A167" s="9" t="s">
        <v>363</v>
      </c>
      <c r="B167" s="9" t="s">
        <v>35</v>
      </c>
      <c r="C167" s="9" t="s">
        <v>12</v>
      </c>
      <c r="D167" s="10">
        <v>71</v>
      </c>
      <c r="E167" s="9" t="s">
        <v>66</v>
      </c>
      <c r="F167" s="11">
        <v>4.545454545454545</v>
      </c>
      <c r="G167" s="11">
        <v>5</v>
      </c>
      <c r="H167" s="12">
        <f>_xlfn.XLOOKUP(B167,'[1]Raw Data Sales'!$B:$B,'[1]Raw Data Sales'!$G:$G,0)</f>
        <v>46844</v>
      </c>
      <c r="I167" s="13">
        <f t="shared" ca="1" si="2"/>
        <v>775</v>
      </c>
      <c r="J167" s="9" t="str">
        <f>_xlfn.XLOOKUP('Item Inventory'!C167,Table1[Category],Table1[ABC_Class],0)</f>
        <v>A</v>
      </c>
      <c r="K167" s="9" t="str">
        <f>_xlfn.XLOOKUP(C167,Table1[Category],Table1[FSN_Class],0)</f>
        <v>F</v>
      </c>
    </row>
    <row r="168" spans="1:11" ht="25.5" x14ac:dyDescent="0.55000000000000004">
      <c r="A168" s="9" t="s">
        <v>364</v>
      </c>
      <c r="B168" s="9" t="s">
        <v>45</v>
      </c>
      <c r="C168" s="9" t="s">
        <v>43</v>
      </c>
      <c r="D168" s="10">
        <v>59</v>
      </c>
      <c r="E168" s="9" t="s">
        <v>66</v>
      </c>
      <c r="F168" s="11">
        <v>90.272727272727266</v>
      </c>
      <c r="G168" s="11">
        <v>99.3</v>
      </c>
      <c r="H168" s="12">
        <f>_xlfn.XLOOKUP(B168,'[1]Raw Data Sales'!$B:$B,'[1]Raw Data Sales'!$G:$G,0)</f>
        <v>46357</v>
      </c>
      <c r="I168" s="13">
        <f t="shared" ca="1" si="2"/>
        <v>288</v>
      </c>
      <c r="J168" s="9" t="str">
        <f>_xlfn.XLOOKUP('Item Inventory'!C168,Table1[Category],Table1[ABC_Class],0)</f>
        <v>A</v>
      </c>
      <c r="K168" s="9" t="str">
        <f>_xlfn.XLOOKUP(C168,Table1[Category],Table1[FSN_Class],0)</f>
        <v>F</v>
      </c>
    </row>
    <row r="169" spans="1:11" ht="25.5" x14ac:dyDescent="0.55000000000000004">
      <c r="A169" s="9" t="s">
        <v>308</v>
      </c>
      <c r="B169" s="9" t="s">
        <v>402</v>
      </c>
      <c r="C169" s="9" t="s">
        <v>117</v>
      </c>
      <c r="D169" s="10">
        <v>65</v>
      </c>
      <c r="E169" s="9" t="s">
        <v>416</v>
      </c>
      <c r="F169" s="15" t="s">
        <v>416</v>
      </c>
      <c r="G169" s="11">
        <v>142</v>
      </c>
      <c r="H169" s="14">
        <v>46235</v>
      </c>
      <c r="I169" s="13">
        <f t="shared" ca="1" si="2"/>
        <v>166</v>
      </c>
      <c r="J169" s="9" t="str">
        <f>_xlfn.XLOOKUP('Item Inventory'!C112,Table1[Category],Table1[ABC_Class],0)</f>
        <v>A</v>
      </c>
      <c r="K169" s="9" t="str">
        <f>_xlfn.XLOOKUP(C169,Table1[Category],Table1[FSN_Class],0)</f>
        <v>S</v>
      </c>
    </row>
    <row r="170" spans="1:11" ht="25.5" x14ac:dyDescent="0.55000000000000004">
      <c r="A170" s="9" t="s">
        <v>366</v>
      </c>
      <c r="B170" s="9" t="s">
        <v>37</v>
      </c>
      <c r="C170" s="9" t="s">
        <v>34</v>
      </c>
      <c r="D170" s="10">
        <v>50</v>
      </c>
      <c r="E170" s="9" t="s">
        <v>66</v>
      </c>
      <c r="F170" s="11">
        <v>38.636363636363633</v>
      </c>
      <c r="G170" s="11">
        <v>42.5</v>
      </c>
      <c r="H170" s="12">
        <f>_xlfn.XLOOKUP(B170,'[1]Raw Data Sales'!$B:$B,'[1]Raw Data Sales'!$G:$G,0)</f>
        <v>46388</v>
      </c>
      <c r="I170" s="13">
        <f t="shared" ca="1" si="2"/>
        <v>319</v>
      </c>
      <c r="J170" s="9" t="str">
        <f>_xlfn.XLOOKUP('Item Inventory'!C170,Table1[Category],Table1[ABC_Class],0)</f>
        <v>B</v>
      </c>
      <c r="K170" s="9" t="str">
        <f>_xlfn.XLOOKUP(C170,Table1[Category],Table1[FSN_Class],0)</f>
        <v>S</v>
      </c>
    </row>
    <row r="171" spans="1:11" ht="25.5" x14ac:dyDescent="0.55000000000000004">
      <c r="A171" s="9" t="s">
        <v>367</v>
      </c>
      <c r="B171" s="9" t="s">
        <v>76</v>
      </c>
      <c r="C171" s="9" t="s">
        <v>43</v>
      </c>
      <c r="D171" s="10">
        <v>75</v>
      </c>
      <c r="E171" s="9" t="s">
        <v>81</v>
      </c>
      <c r="F171" s="11">
        <v>538.59090909090912</v>
      </c>
      <c r="G171" s="11">
        <v>592.45000000000005</v>
      </c>
      <c r="H171" s="12">
        <f>_xlfn.XLOOKUP(B171,'[1]Raw Data Sales'!$B:$B,'[1]Raw Data Sales'!$G:$G,0)</f>
        <v>46327</v>
      </c>
      <c r="I171" s="13">
        <f t="shared" ca="1" si="2"/>
        <v>258</v>
      </c>
      <c r="J171" s="9" t="str">
        <f>_xlfn.XLOOKUP('Item Inventory'!C171,Table1[Category],Table1[ABC_Class],0)</f>
        <v>A</v>
      </c>
      <c r="K171" s="9" t="str">
        <f>_xlfn.XLOOKUP(C171,Table1[Category],Table1[FSN_Class],0)</f>
        <v>F</v>
      </c>
    </row>
    <row r="172" spans="1:11" ht="25.5" x14ac:dyDescent="0.55000000000000004">
      <c r="A172" s="9" t="s">
        <v>307</v>
      </c>
      <c r="B172" s="9" t="s">
        <v>381</v>
      </c>
      <c r="C172" s="9" t="s">
        <v>415</v>
      </c>
      <c r="D172" s="10">
        <v>57</v>
      </c>
      <c r="E172" s="9" t="s">
        <v>416</v>
      </c>
      <c r="F172" s="15" t="s">
        <v>416</v>
      </c>
      <c r="G172" s="11">
        <v>64.959999999999994</v>
      </c>
      <c r="H172" s="14">
        <v>46235</v>
      </c>
      <c r="I172" s="13">
        <f t="shared" ca="1" si="2"/>
        <v>166</v>
      </c>
      <c r="J172" s="9" t="s">
        <v>469</v>
      </c>
      <c r="K172" s="9" t="s">
        <v>474</v>
      </c>
    </row>
    <row r="173" spans="1:11" ht="25.5" x14ac:dyDescent="0.55000000000000004">
      <c r="A173" s="9" t="s">
        <v>306</v>
      </c>
      <c r="B173" s="9" t="s">
        <v>390</v>
      </c>
      <c r="C173" s="9" t="s">
        <v>26</v>
      </c>
      <c r="D173" s="10">
        <v>27</v>
      </c>
      <c r="E173" s="9" t="s">
        <v>416</v>
      </c>
      <c r="F173" s="15" t="s">
        <v>416</v>
      </c>
      <c r="G173" s="11">
        <v>52</v>
      </c>
      <c r="H173" s="14">
        <v>46054</v>
      </c>
      <c r="I173" s="13">
        <f t="shared" ca="1" si="2"/>
        <v>-15</v>
      </c>
      <c r="J173" s="9" t="s">
        <v>467</v>
      </c>
      <c r="K173" s="9" t="str">
        <f>_xlfn.XLOOKUP(C173,Table1[Category],Table1[FSN_Class],0)</f>
        <v>F</v>
      </c>
    </row>
    <row r="174" spans="1:11" ht="25.5" x14ac:dyDescent="0.55000000000000004">
      <c r="A174" s="9" t="s">
        <v>302</v>
      </c>
      <c r="B174" s="9" t="s">
        <v>409</v>
      </c>
      <c r="C174" s="9" t="s">
        <v>26</v>
      </c>
      <c r="D174" s="10">
        <v>92</v>
      </c>
      <c r="E174" s="9" t="s">
        <v>416</v>
      </c>
      <c r="F174" s="15" t="s">
        <v>416</v>
      </c>
      <c r="G174" s="11">
        <v>219</v>
      </c>
      <c r="H174" s="14">
        <v>46235</v>
      </c>
      <c r="I174" s="13">
        <f t="shared" ca="1" si="2"/>
        <v>166</v>
      </c>
      <c r="J174" s="9" t="str">
        <f>_xlfn.XLOOKUP('Item Inventory'!C106,Table1[Category],Table1[ABC_Class],0)</f>
        <v>A</v>
      </c>
      <c r="K174" s="9" t="str">
        <f>_xlfn.XLOOKUP(C174,Table1[Category],Table1[FSN_Class],0)</f>
        <v>F</v>
      </c>
    </row>
    <row r="175" spans="1:11" ht="25.5" x14ac:dyDescent="0.55000000000000004">
      <c r="A175" s="9" t="s">
        <v>418</v>
      </c>
      <c r="B175" s="9" t="s">
        <v>149</v>
      </c>
      <c r="C175" s="9" t="s">
        <v>12</v>
      </c>
      <c r="D175" s="10">
        <v>41</v>
      </c>
      <c r="E175" s="9" t="s">
        <v>151</v>
      </c>
      <c r="F175" s="11">
        <v>135.71818181818179</v>
      </c>
      <c r="G175" s="11">
        <v>149.29</v>
      </c>
      <c r="H175" s="12">
        <f>_xlfn.XLOOKUP(B175,'[1]Raw Data Sales'!$B:$B,'[1]Raw Data Sales'!$G:$G,0)</f>
        <v>46508</v>
      </c>
      <c r="I175" s="13">
        <f t="shared" ca="1" si="2"/>
        <v>439</v>
      </c>
      <c r="J175" s="9" t="str">
        <f>_xlfn.XLOOKUP('Item Inventory'!C175,Table1[Category],Table1[ABC_Class],0)</f>
        <v>A</v>
      </c>
      <c r="K175" s="9" t="str">
        <f>_xlfn.XLOOKUP(C175,Table1[Category],Table1[FSN_Class],0)</f>
        <v>F</v>
      </c>
    </row>
    <row r="176" spans="1:11" ht="25.5" x14ac:dyDescent="0.55000000000000004">
      <c r="A176" s="9" t="s">
        <v>290</v>
      </c>
      <c r="B176" s="9" t="s">
        <v>405</v>
      </c>
      <c r="C176" s="9" t="s">
        <v>43</v>
      </c>
      <c r="D176" s="10">
        <v>85</v>
      </c>
      <c r="E176" s="9" t="s">
        <v>416</v>
      </c>
      <c r="F176" s="15" t="s">
        <v>416</v>
      </c>
      <c r="G176" s="11">
        <v>365</v>
      </c>
      <c r="H176" s="14">
        <v>45717</v>
      </c>
      <c r="I176" s="13">
        <f t="shared" ca="1" si="2"/>
        <v>-352</v>
      </c>
      <c r="J176" s="9" t="str">
        <f>_xlfn.XLOOKUP('Item Inventory'!C94,Table1[Category],Table1[ABC_Class],0)</f>
        <v>A</v>
      </c>
      <c r="K176" s="9" t="str">
        <f>_xlfn.XLOOKUP(C176,Table1[Category],Table1[FSN_Class],0)</f>
        <v>F</v>
      </c>
    </row>
    <row r="177" spans="1:11" ht="25.5" x14ac:dyDescent="0.55000000000000004">
      <c r="A177" s="9" t="s">
        <v>420</v>
      </c>
      <c r="B177" s="9" t="s">
        <v>15</v>
      </c>
      <c r="C177" s="9" t="s">
        <v>14</v>
      </c>
      <c r="D177" s="10">
        <v>24</v>
      </c>
      <c r="E177" s="9" t="s">
        <v>18</v>
      </c>
      <c r="F177" s="11">
        <v>372.72727272727269</v>
      </c>
      <c r="G177" s="11">
        <v>410</v>
      </c>
      <c r="H177" s="12">
        <f>_xlfn.XLOOKUP(B177,'[1]Raw Data Sales'!$B:$B,'[1]Raw Data Sales'!$G:$G,0)</f>
        <v>46478</v>
      </c>
      <c r="I177" s="13">
        <f t="shared" ca="1" si="2"/>
        <v>409</v>
      </c>
      <c r="J177" s="9" t="str">
        <f>_xlfn.XLOOKUP('Item Inventory'!C177,Table1[Category],Table1[ABC_Class],0)</f>
        <v>A</v>
      </c>
      <c r="K177" s="9" t="str">
        <f>_xlfn.XLOOKUP(C177,Table1[Category],Table1[FSN_Class],0)</f>
        <v>F</v>
      </c>
    </row>
    <row r="178" spans="1:11" ht="25.5" x14ac:dyDescent="0.55000000000000004">
      <c r="A178" s="9" t="s">
        <v>421</v>
      </c>
      <c r="B178" s="9" t="s">
        <v>46</v>
      </c>
      <c r="C178" s="9" t="s">
        <v>47</v>
      </c>
      <c r="D178" s="10">
        <v>69</v>
      </c>
      <c r="E178" s="9" t="s">
        <v>66</v>
      </c>
      <c r="F178" s="11">
        <v>112.99090909090908</v>
      </c>
      <c r="G178" s="11">
        <v>124.29</v>
      </c>
      <c r="H178" s="12">
        <f>_xlfn.XLOOKUP(B178,'[1]Raw Data Sales'!$B:$B,'[1]Raw Data Sales'!$G:$G,0)</f>
        <v>46388</v>
      </c>
      <c r="I178" s="13">
        <f t="shared" ca="1" si="2"/>
        <v>319</v>
      </c>
      <c r="J178" s="9" t="str">
        <f>_xlfn.XLOOKUP('Item Inventory'!C178,Table1[Category],Table1[ABC_Class],0)</f>
        <v>B</v>
      </c>
      <c r="K178" s="9" t="str">
        <f>_xlfn.XLOOKUP(C178,Table1[Category],Table1[FSN_Class],0)</f>
        <v>F</v>
      </c>
    </row>
    <row r="179" spans="1:11" ht="25.5" x14ac:dyDescent="0.55000000000000004">
      <c r="A179" s="9" t="s">
        <v>287</v>
      </c>
      <c r="B179" s="9" t="s">
        <v>407</v>
      </c>
      <c r="C179" s="9" t="s">
        <v>117</v>
      </c>
      <c r="D179" s="10">
        <v>87</v>
      </c>
      <c r="E179" s="9" t="s">
        <v>416</v>
      </c>
      <c r="F179" s="15" t="s">
        <v>416</v>
      </c>
      <c r="G179" s="11">
        <v>180</v>
      </c>
      <c r="H179" s="14">
        <v>46296</v>
      </c>
      <c r="I179" s="13">
        <f t="shared" ca="1" si="2"/>
        <v>227</v>
      </c>
      <c r="J179" s="9" t="s">
        <v>468</v>
      </c>
      <c r="K179" s="9" t="str">
        <f>_xlfn.XLOOKUP(C179,Table1[Category],Table1[FSN_Class],0)</f>
        <v>S</v>
      </c>
    </row>
    <row r="180" spans="1:11" ht="25.5" x14ac:dyDescent="0.55000000000000004">
      <c r="A180" s="9" t="s">
        <v>286</v>
      </c>
      <c r="B180" s="9" t="s">
        <v>413</v>
      </c>
      <c r="C180" s="9" t="s">
        <v>117</v>
      </c>
      <c r="D180" s="10">
        <v>95</v>
      </c>
      <c r="E180" s="9" t="s">
        <v>416</v>
      </c>
      <c r="F180" s="15" t="s">
        <v>416</v>
      </c>
      <c r="G180" s="11">
        <v>19</v>
      </c>
      <c r="H180" s="14">
        <v>46357</v>
      </c>
      <c r="I180" s="13">
        <f t="shared" ca="1" si="2"/>
        <v>288</v>
      </c>
      <c r="J180" s="9" t="str">
        <f>_xlfn.XLOOKUP('Item Inventory'!C90,Table1[Category],Table1[ABC_Class],0)</f>
        <v>B</v>
      </c>
      <c r="K180" s="9" t="str">
        <f>_xlfn.XLOOKUP(C180,Table1[Category],Table1[FSN_Class],0)</f>
        <v>S</v>
      </c>
    </row>
    <row r="181" spans="1:11" ht="25.5" x14ac:dyDescent="0.55000000000000004">
      <c r="A181" s="9" t="s">
        <v>280</v>
      </c>
      <c r="B181" s="9" t="s">
        <v>404</v>
      </c>
      <c r="C181" s="9" t="s">
        <v>117</v>
      </c>
      <c r="D181" s="10">
        <v>30</v>
      </c>
      <c r="E181" s="9" t="s">
        <v>416</v>
      </c>
      <c r="F181" s="15" t="s">
        <v>416</v>
      </c>
      <c r="G181" s="11">
        <v>269</v>
      </c>
      <c r="H181" s="14">
        <v>45778</v>
      </c>
      <c r="I181" s="13">
        <f t="shared" ca="1" si="2"/>
        <v>-291</v>
      </c>
      <c r="J181" s="9" t="str">
        <f>_xlfn.XLOOKUP('Item Inventory'!C84,Table1[Category],Table1[ABC_Class],0)</f>
        <v>A</v>
      </c>
      <c r="K181" s="9" t="str">
        <f>_xlfn.XLOOKUP(C181,Table1[Category],Table1[FSN_Class],0)</f>
        <v>S</v>
      </c>
    </row>
    <row r="182" spans="1:11" ht="25.5" x14ac:dyDescent="0.55000000000000004">
      <c r="A182" s="9" t="s">
        <v>425</v>
      </c>
      <c r="B182" s="9" t="s">
        <v>16</v>
      </c>
      <c r="C182" s="9" t="s">
        <v>17</v>
      </c>
      <c r="D182" s="10">
        <v>89</v>
      </c>
      <c r="E182" s="9" t="s">
        <v>18</v>
      </c>
      <c r="F182" s="11">
        <v>1040.0636363636363</v>
      </c>
      <c r="G182" s="11">
        <v>1144.07</v>
      </c>
      <c r="H182" s="12">
        <f>_xlfn.XLOOKUP(B182,'[1]Raw Data Sales'!$B:$B,'[1]Raw Data Sales'!$G:$G,0)</f>
        <v>46874</v>
      </c>
      <c r="I182" s="13">
        <f t="shared" ca="1" si="2"/>
        <v>805</v>
      </c>
      <c r="J182" s="9" t="str">
        <f>_xlfn.XLOOKUP('Item Inventory'!C182,Table1[Category],Table1[ABC_Class],0)</f>
        <v>C</v>
      </c>
      <c r="K182" s="9" t="str">
        <f>_xlfn.XLOOKUP(C182,Table1[Category],Table1[FSN_Class],0)</f>
        <v>N</v>
      </c>
    </row>
    <row r="183" spans="1:11" ht="25.5" x14ac:dyDescent="0.55000000000000004">
      <c r="A183" s="9" t="s">
        <v>426</v>
      </c>
      <c r="B183" s="9" t="s">
        <v>33</v>
      </c>
      <c r="C183" s="9" t="s">
        <v>17</v>
      </c>
      <c r="D183" s="10">
        <v>95</v>
      </c>
      <c r="E183" s="9" t="s">
        <v>66</v>
      </c>
      <c r="F183" s="11">
        <v>173.34545454545454</v>
      </c>
      <c r="G183" s="11">
        <v>190.68</v>
      </c>
      <c r="H183" s="12">
        <f>_xlfn.XLOOKUP(B183,'[1]Raw Data Sales'!$B:$B,'[1]Raw Data Sales'!$G:$G,0)</f>
        <v>46905</v>
      </c>
      <c r="I183" s="13">
        <f t="shared" ca="1" si="2"/>
        <v>836</v>
      </c>
      <c r="J183" s="9" t="str">
        <f>_xlfn.XLOOKUP('Item Inventory'!C183,Table1[Category],Table1[ABC_Class],0)</f>
        <v>C</v>
      </c>
      <c r="K183" s="9" t="str">
        <f>_xlfn.XLOOKUP(C183,Table1[Category],Table1[FSN_Class],0)</f>
        <v>N</v>
      </c>
    </row>
    <row r="184" spans="1:11" ht="25.5" x14ac:dyDescent="0.55000000000000004">
      <c r="A184" s="9" t="s">
        <v>427</v>
      </c>
      <c r="B184" s="9" t="s">
        <v>31</v>
      </c>
      <c r="C184" s="9" t="s">
        <v>14</v>
      </c>
      <c r="D184" s="10">
        <v>39</v>
      </c>
      <c r="E184" s="9" t="s">
        <v>66</v>
      </c>
      <c r="F184" s="11">
        <v>220.78181818181818</v>
      </c>
      <c r="G184" s="11">
        <v>242.86</v>
      </c>
      <c r="H184" s="12">
        <f>_xlfn.XLOOKUP(B184,'[1]Raw Data Sales'!$B:$B,'[1]Raw Data Sales'!$G:$G,0)</f>
        <v>46478</v>
      </c>
      <c r="I184" s="13">
        <f t="shared" ca="1" si="2"/>
        <v>409</v>
      </c>
      <c r="J184" s="9" t="str">
        <f>_xlfn.XLOOKUP('Item Inventory'!C184,Table1[Category],Table1[ABC_Class],0)</f>
        <v>A</v>
      </c>
      <c r="K184" s="9" t="str">
        <f>_xlfn.XLOOKUP(C184,Table1[Category],Table1[FSN_Class],0)</f>
        <v>F</v>
      </c>
    </row>
    <row r="185" spans="1:11" ht="25.5" x14ac:dyDescent="0.55000000000000004">
      <c r="A185" s="9" t="s">
        <v>278</v>
      </c>
      <c r="B185" s="9" t="s">
        <v>394</v>
      </c>
      <c r="C185" s="9" t="s">
        <v>14</v>
      </c>
      <c r="D185" s="10">
        <v>94</v>
      </c>
      <c r="E185" s="9" t="s">
        <v>416</v>
      </c>
      <c r="F185" s="15" t="s">
        <v>416</v>
      </c>
      <c r="G185" s="11">
        <v>33.340000000000003</v>
      </c>
      <c r="H185" s="14">
        <v>46082</v>
      </c>
      <c r="I185" s="13">
        <f t="shared" ca="1" si="2"/>
        <v>13</v>
      </c>
      <c r="J185" s="9" t="str">
        <f>_xlfn.XLOOKUP('Item Inventory'!C82,Table1[Category],Table1[ABC_Class],0)</f>
        <v>C</v>
      </c>
      <c r="K185" s="9" t="str">
        <f>_xlfn.XLOOKUP(C185,Table1[Category],Table1[FSN_Class],0)</f>
        <v>F</v>
      </c>
    </row>
    <row r="186" spans="1:11" ht="25.5" x14ac:dyDescent="0.55000000000000004">
      <c r="A186" s="9" t="s">
        <v>273</v>
      </c>
      <c r="B186" s="9" t="s">
        <v>410</v>
      </c>
      <c r="C186" s="9" t="s">
        <v>47</v>
      </c>
      <c r="D186" s="10">
        <v>41</v>
      </c>
      <c r="E186" s="9" t="s">
        <v>416</v>
      </c>
      <c r="F186" s="15" t="s">
        <v>416</v>
      </c>
      <c r="G186" s="11">
        <v>65</v>
      </c>
      <c r="H186" s="14">
        <v>45748</v>
      </c>
      <c r="I186" s="13">
        <f t="shared" ca="1" si="2"/>
        <v>-321</v>
      </c>
      <c r="J186" s="9" t="s">
        <v>468</v>
      </c>
      <c r="K186" s="9" t="str">
        <f>_xlfn.XLOOKUP(C186,Table1[Category],Table1[FSN_Class],0)</f>
        <v>F</v>
      </c>
    </row>
    <row r="187" spans="1:11" ht="25.5" x14ac:dyDescent="0.55000000000000004">
      <c r="A187" s="9" t="s">
        <v>430</v>
      </c>
      <c r="B187" s="9" t="s">
        <v>48</v>
      </c>
      <c r="C187" s="9" t="s">
        <v>34</v>
      </c>
      <c r="D187" s="10">
        <v>21</v>
      </c>
      <c r="E187" s="9" t="s">
        <v>66</v>
      </c>
      <c r="F187" s="11">
        <v>308.44545454545454</v>
      </c>
      <c r="G187" s="11">
        <v>339.29</v>
      </c>
      <c r="H187" s="12">
        <f>_xlfn.XLOOKUP(B187,'[1]Raw Data Sales'!$B:$B,'[1]Raw Data Sales'!$G:$G,0)</f>
        <v>46844</v>
      </c>
      <c r="I187" s="13">
        <f t="shared" ca="1" si="2"/>
        <v>775</v>
      </c>
      <c r="J187" s="9" t="str">
        <f>_xlfn.XLOOKUP('Item Inventory'!C187,Table1[Category],Table1[ABC_Class],0)</f>
        <v>B</v>
      </c>
      <c r="K187" s="9" t="str">
        <f>_xlfn.XLOOKUP(C187,Table1[Category],Table1[FSN_Class],0)</f>
        <v>S</v>
      </c>
    </row>
    <row r="188" spans="1:11" ht="25.5" x14ac:dyDescent="0.55000000000000004">
      <c r="A188" s="9" t="s">
        <v>431</v>
      </c>
      <c r="B188" s="9" t="s">
        <v>68</v>
      </c>
      <c r="C188" s="9" t="s">
        <v>12</v>
      </c>
      <c r="D188" s="10">
        <v>21</v>
      </c>
      <c r="E188" s="9" t="s">
        <v>69</v>
      </c>
      <c r="F188" s="11">
        <v>188.30909090909088</v>
      </c>
      <c r="G188" s="11">
        <v>207.14</v>
      </c>
      <c r="H188" s="12">
        <f>_xlfn.XLOOKUP(B188,'[1]Raw Data Sales'!$B:$B,'[1]Raw Data Sales'!$G:$G,0)</f>
        <v>46508</v>
      </c>
      <c r="I188" s="13">
        <f t="shared" ca="1" si="2"/>
        <v>439</v>
      </c>
      <c r="J188" s="9" t="str">
        <f>_xlfn.XLOOKUP('Item Inventory'!C188,Table1[Category],Table1[ABC_Class],0)</f>
        <v>A</v>
      </c>
      <c r="K188" s="9" t="str">
        <f>_xlfn.XLOOKUP(C188,Table1[Category],Table1[FSN_Class],0)</f>
        <v>F</v>
      </c>
    </row>
    <row r="189" spans="1:11" ht="25.5" x14ac:dyDescent="0.55000000000000004">
      <c r="A189" s="9" t="s">
        <v>270</v>
      </c>
      <c r="B189" s="9" t="s">
        <v>373</v>
      </c>
      <c r="C189" s="9" t="s">
        <v>415</v>
      </c>
      <c r="D189" s="10">
        <v>75</v>
      </c>
      <c r="E189" s="9" t="s">
        <v>416</v>
      </c>
      <c r="F189" s="15" t="s">
        <v>416</v>
      </c>
      <c r="G189" s="11">
        <v>191.66</v>
      </c>
      <c r="H189" s="14">
        <v>45748</v>
      </c>
      <c r="I189" s="13">
        <f t="shared" ca="1" si="2"/>
        <v>-321</v>
      </c>
      <c r="J189" s="9" t="s">
        <v>469</v>
      </c>
      <c r="K189" s="9" t="s">
        <v>474</v>
      </c>
    </row>
    <row r="190" spans="1:11" ht="25.5" x14ac:dyDescent="0.55000000000000004">
      <c r="A190" s="9" t="s">
        <v>433</v>
      </c>
      <c r="B190" s="9" t="s">
        <v>77</v>
      </c>
      <c r="C190" s="9" t="s">
        <v>13</v>
      </c>
      <c r="D190" s="10">
        <v>68</v>
      </c>
      <c r="E190" s="9" t="s">
        <v>81</v>
      </c>
      <c r="F190" s="11">
        <v>601.95454545454538</v>
      </c>
      <c r="G190" s="11">
        <v>662.15</v>
      </c>
      <c r="H190" s="12">
        <f>_xlfn.XLOOKUP(B190,'[1]Raw Data Sales'!$B:$B,'[1]Raw Data Sales'!$G:$G,0)</f>
        <v>46357</v>
      </c>
      <c r="I190" s="13">
        <f t="shared" ca="1" si="2"/>
        <v>288</v>
      </c>
      <c r="J190" s="9" t="str">
        <f>_xlfn.XLOOKUP('Item Inventory'!C190,Table1[Category],Table1[ABC_Class],0)</f>
        <v>B</v>
      </c>
      <c r="K190" s="9" t="str">
        <f>_xlfn.XLOOKUP(C190,Table1[Category],Table1[FSN_Class],0)</f>
        <v>N</v>
      </c>
    </row>
    <row r="191" spans="1:11" ht="25.5" x14ac:dyDescent="0.55000000000000004">
      <c r="A191" s="9" t="s">
        <v>249</v>
      </c>
      <c r="B191" s="9" t="s">
        <v>391</v>
      </c>
      <c r="C191" s="9" t="s">
        <v>43</v>
      </c>
      <c r="D191" s="10">
        <v>28</v>
      </c>
      <c r="E191" s="9" t="s">
        <v>416</v>
      </c>
      <c r="F191" s="15" t="s">
        <v>416</v>
      </c>
      <c r="G191" s="11">
        <v>60</v>
      </c>
      <c r="H191" s="14">
        <v>45870</v>
      </c>
      <c r="I191" s="13">
        <f t="shared" ca="1" si="2"/>
        <v>-199</v>
      </c>
      <c r="J191" s="9" t="str">
        <f>_xlfn.XLOOKUP('Item Inventory'!C53,Table1[Category],Table1[ABC_Class],0)</f>
        <v>B</v>
      </c>
      <c r="K191" s="9" t="str">
        <f>_xlfn.XLOOKUP(C191,Table1[Category],Table1[FSN_Class],0)</f>
        <v>F</v>
      </c>
    </row>
    <row r="192" spans="1:11" ht="25.5" x14ac:dyDescent="0.55000000000000004">
      <c r="A192" s="9" t="s">
        <v>248</v>
      </c>
      <c r="B192" s="9" t="s">
        <v>380</v>
      </c>
      <c r="C192" s="9" t="s">
        <v>415</v>
      </c>
      <c r="D192" s="10">
        <v>20</v>
      </c>
      <c r="E192" s="9" t="s">
        <v>416</v>
      </c>
      <c r="F192" s="15" t="s">
        <v>416</v>
      </c>
      <c r="G192" s="11">
        <v>32.04</v>
      </c>
      <c r="H192" s="14">
        <v>45839</v>
      </c>
      <c r="I192" s="13">
        <f t="shared" ca="1" si="2"/>
        <v>-230</v>
      </c>
      <c r="J192" s="9" t="s">
        <v>469</v>
      </c>
      <c r="K192" s="9" t="s">
        <v>474</v>
      </c>
    </row>
    <row r="193" spans="1:11" ht="25.5" x14ac:dyDescent="0.55000000000000004">
      <c r="A193" s="9" t="s">
        <v>436</v>
      </c>
      <c r="B193" s="9" t="s">
        <v>184</v>
      </c>
      <c r="C193" s="9" t="s">
        <v>14</v>
      </c>
      <c r="D193" s="10">
        <v>83</v>
      </c>
      <c r="E193" s="9" t="s">
        <v>192</v>
      </c>
      <c r="F193" s="11">
        <v>418.83636363636401</v>
      </c>
      <c r="G193" s="11">
        <v>460.72</v>
      </c>
      <c r="H193" s="12">
        <f>_xlfn.XLOOKUP(B193,'[1]Raw Data Sales'!$B:$B,'[1]Raw Data Sales'!$G:$G,0)</f>
        <v>46874</v>
      </c>
      <c r="I193" s="13">
        <f t="shared" ca="1" si="2"/>
        <v>805</v>
      </c>
      <c r="J193" s="9" t="str">
        <f>_xlfn.XLOOKUP('Item Inventory'!C193,Table1[Category],Table1[ABC_Class],0)</f>
        <v>A</v>
      </c>
      <c r="K193" s="9" t="str">
        <f>_xlfn.XLOOKUP(C193,Table1[Category],Table1[FSN_Class],0)</f>
        <v>F</v>
      </c>
    </row>
    <row r="194" spans="1:11" ht="25.5" x14ac:dyDescent="0.55000000000000004">
      <c r="A194" s="9" t="s">
        <v>246</v>
      </c>
      <c r="B194" s="9" t="s">
        <v>78</v>
      </c>
      <c r="C194" s="9" t="s">
        <v>14</v>
      </c>
      <c r="D194" s="10">
        <v>38</v>
      </c>
      <c r="E194" s="9" t="s">
        <v>81</v>
      </c>
      <c r="F194" s="11">
        <v>588.69090909090903</v>
      </c>
      <c r="G194" s="11">
        <v>647.55999999999995</v>
      </c>
      <c r="H194" s="14">
        <v>46054</v>
      </c>
      <c r="I194" s="13">
        <f t="shared" ca="1" si="2"/>
        <v>-15</v>
      </c>
      <c r="J194" s="9" t="str">
        <f>_xlfn.XLOOKUP('Item Inventory'!C50,Table1[Category],Table1[ABC_Class],0)</f>
        <v>A</v>
      </c>
      <c r="K194" s="9" t="str">
        <f>_xlfn.XLOOKUP(C194,Table1[Category],Table1[FSN_Class],0)</f>
        <v>F</v>
      </c>
    </row>
    <row r="195" spans="1:11" ht="25.5" x14ac:dyDescent="0.55000000000000004">
      <c r="A195" s="9" t="s">
        <v>217</v>
      </c>
      <c r="B195" s="9" t="s">
        <v>389</v>
      </c>
      <c r="C195" s="9" t="s">
        <v>415</v>
      </c>
      <c r="D195" s="10">
        <v>41</v>
      </c>
      <c r="E195" s="9" t="s">
        <v>416</v>
      </c>
      <c r="F195" s="15" t="s">
        <v>416</v>
      </c>
      <c r="G195" s="11">
        <v>443.76</v>
      </c>
      <c r="H195" s="14">
        <v>45901</v>
      </c>
      <c r="I195" s="13">
        <f t="shared" ca="1" si="2"/>
        <v>-168</v>
      </c>
      <c r="J195" s="9" t="s">
        <v>469</v>
      </c>
      <c r="K195" s="9" t="s">
        <v>474</v>
      </c>
    </row>
    <row r="196" spans="1:11" ht="25.5" x14ac:dyDescent="0.55000000000000004">
      <c r="A196" s="9" t="s">
        <v>207</v>
      </c>
      <c r="B196" s="9" t="s">
        <v>401</v>
      </c>
      <c r="C196" s="9" t="s">
        <v>26</v>
      </c>
      <c r="D196" s="10">
        <v>62</v>
      </c>
      <c r="E196" s="9" t="s">
        <v>416</v>
      </c>
      <c r="F196" s="15" t="s">
        <v>416</v>
      </c>
      <c r="G196" s="11">
        <v>56.22</v>
      </c>
      <c r="H196" s="14">
        <v>46327</v>
      </c>
      <c r="I196" s="13">
        <f t="shared" ref="I196:I218" ca="1" si="3">H196-TODAY()</f>
        <v>258</v>
      </c>
      <c r="J196" s="9" t="str">
        <f>_xlfn.XLOOKUP('Item Inventory'!C11,Table1[Category],Table1[ABC_Class],0)</f>
        <v>A</v>
      </c>
      <c r="K196" s="9" t="str">
        <f>_xlfn.XLOOKUP(C196,Table1[Category],Table1[FSN_Class],0)</f>
        <v>F</v>
      </c>
    </row>
    <row r="197" spans="1:11" ht="25.5" x14ac:dyDescent="0.55000000000000004">
      <c r="A197" s="9" t="s">
        <v>440</v>
      </c>
      <c r="B197" s="9" t="s">
        <v>133</v>
      </c>
      <c r="C197" s="9" t="s">
        <v>94</v>
      </c>
      <c r="D197" s="10">
        <v>89</v>
      </c>
      <c r="E197" s="9" t="s">
        <v>151</v>
      </c>
      <c r="F197" s="11">
        <v>156.21818181818182</v>
      </c>
      <c r="G197" s="11">
        <v>171.84</v>
      </c>
      <c r="H197" s="12">
        <f>_xlfn.XLOOKUP(B197,'[1]Raw Data Sales'!$B:$B,'[1]Raw Data Sales'!$G:$G,0)</f>
        <v>46784</v>
      </c>
      <c r="I197" s="13">
        <f t="shared" ca="1" si="3"/>
        <v>715</v>
      </c>
      <c r="J197" s="9" t="str">
        <f>_xlfn.XLOOKUP('Item Inventory'!C197,Table1[Category],Table1[ABC_Class],0)</f>
        <v>C</v>
      </c>
      <c r="K197" s="9" t="str">
        <f>_xlfn.XLOOKUP(C197,Table1[Category],Table1[FSN_Class],0)</f>
        <v>N</v>
      </c>
    </row>
    <row r="198" spans="1:11" ht="25.5" x14ac:dyDescent="0.55000000000000004">
      <c r="A198" s="9" t="s">
        <v>441</v>
      </c>
      <c r="B198" s="9" t="s">
        <v>134</v>
      </c>
      <c r="C198" s="9" t="s">
        <v>43</v>
      </c>
      <c r="D198" s="10">
        <v>38</v>
      </c>
      <c r="E198" s="9" t="s">
        <v>151</v>
      </c>
      <c r="F198" s="11">
        <v>116.92727272727272</v>
      </c>
      <c r="G198" s="11">
        <v>128.62</v>
      </c>
      <c r="H198" s="12">
        <f>_xlfn.XLOOKUP(B198,'[1]Raw Data Sales'!$B:$B,'[1]Raw Data Sales'!$G:$G,0)</f>
        <v>46569</v>
      </c>
      <c r="I198" s="13">
        <f t="shared" ca="1" si="3"/>
        <v>500</v>
      </c>
      <c r="J198" s="9" t="str">
        <f>_xlfn.XLOOKUP('Item Inventory'!C198,Table1[Category],Table1[ABC_Class],0)</f>
        <v>A</v>
      </c>
      <c r="K198" s="9" t="str">
        <f>_xlfn.XLOOKUP(C198,Table1[Category],Table1[FSN_Class],0)</f>
        <v>F</v>
      </c>
    </row>
    <row r="199" spans="1:11" ht="25.5" x14ac:dyDescent="0.55000000000000004">
      <c r="A199" s="9" t="s">
        <v>442</v>
      </c>
      <c r="B199" s="9" t="s">
        <v>135</v>
      </c>
      <c r="C199" s="9" t="s">
        <v>12</v>
      </c>
      <c r="D199" s="10">
        <v>39</v>
      </c>
      <c r="E199" s="9" t="s">
        <v>151</v>
      </c>
      <c r="F199" s="11">
        <v>58.263636363636365</v>
      </c>
      <c r="G199" s="11">
        <v>64.09</v>
      </c>
      <c r="H199" s="12">
        <f>_xlfn.XLOOKUP(B199,'[1]Raw Data Sales'!$B:$B,'[1]Raw Data Sales'!$G:$G,0)</f>
        <v>46539</v>
      </c>
      <c r="I199" s="13">
        <f t="shared" ca="1" si="3"/>
        <v>470</v>
      </c>
      <c r="J199" s="9" t="str">
        <f>_xlfn.XLOOKUP('Item Inventory'!C199,Table1[Category],Table1[ABC_Class],0)</f>
        <v>A</v>
      </c>
      <c r="K199" s="9" t="str">
        <f>_xlfn.XLOOKUP(C199,Table1[Category],Table1[FSN_Class],0)</f>
        <v>F</v>
      </c>
    </row>
    <row r="200" spans="1:11" ht="25.5" x14ac:dyDescent="0.55000000000000004">
      <c r="A200" s="9" t="s">
        <v>443</v>
      </c>
      <c r="B200" s="9" t="s">
        <v>136</v>
      </c>
      <c r="C200" s="9" t="s">
        <v>117</v>
      </c>
      <c r="D200" s="10">
        <v>65</v>
      </c>
      <c r="E200" s="9" t="s">
        <v>151</v>
      </c>
      <c r="F200" s="11">
        <v>260.42727272727274</v>
      </c>
      <c r="G200" s="11">
        <v>286.47000000000003</v>
      </c>
      <c r="H200" s="12">
        <f>_xlfn.XLOOKUP(B200,'[1]Raw Data Sales'!$B:$B,'[1]Raw Data Sales'!$G:$G,0)</f>
        <v>46539</v>
      </c>
      <c r="I200" s="13">
        <f t="shared" ca="1" si="3"/>
        <v>470</v>
      </c>
      <c r="J200" s="9" t="str">
        <f>_xlfn.XLOOKUP('Item Inventory'!C200,Table1[Category],Table1[ABC_Class],0)</f>
        <v>B</v>
      </c>
      <c r="K200" s="9" t="str">
        <f>_xlfn.XLOOKUP(C200,Table1[Category],Table1[FSN_Class],0)</f>
        <v>S</v>
      </c>
    </row>
    <row r="201" spans="1:11" ht="25.5" x14ac:dyDescent="0.55000000000000004">
      <c r="A201" s="9" t="s">
        <v>444</v>
      </c>
      <c r="B201" s="9" t="s">
        <v>183</v>
      </c>
      <c r="C201" s="9" t="s">
        <v>14</v>
      </c>
      <c r="D201" s="10">
        <v>62</v>
      </c>
      <c r="E201" s="9" t="s">
        <v>192</v>
      </c>
      <c r="F201" s="11">
        <v>292.20909090909089</v>
      </c>
      <c r="G201" s="11">
        <v>321.43</v>
      </c>
      <c r="H201" s="12">
        <f>_xlfn.XLOOKUP(B201,'[1]Raw Data Sales'!$B:$B,'[1]Raw Data Sales'!$G:$G,0)</f>
        <v>46844</v>
      </c>
      <c r="I201" s="13">
        <f t="shared" ca="1" si="3"/>
        <v>775</v>
      </c>
      <c r="J201" s="9" t="str">
        <f>_xlfn.XLOOKUP('Item Inventory'!C201,Table1[Category],Table1[ABC_Class],0)</f>
        <v>A</v>
      </c>
      <c r="K201" s="9" t="str">
        <f>_xlfn.XLOOKUP(C201,Table1[Category],Table1[FSN_Class],0)</f>
        <v>F</v>
      </c>
    </row>
    <row r="202" spans="1:11" ht="25.5" x14ac:dyDescent="0.55000000000000004">
      <c r="A202" s="9" t="s">
        <v>445</v>
      </c>
      <c r="B202" s="9" t="s">
        <v>137</v>
      </c>
      <c r="C202" s="9" t="s">
        <v>14</v>
      </c>
      <c r="D202" s="10">
        <v>67</v>
      </c>
      <c r="E202" s="9" t="s">
        <v>151</v>
      </c>
      <c r="F202" s="11">
        <v>546.1</v>
      </c>
      <c r="G202" s="11">
        <v>600.71</v>
      </c>
      <c r="H202" s="12">
        <f>_xlfn.XLOOKUP(B202,'[1]Raw Data Sales'!$B:$B,'[1]Raw Data Sales'!$G:$G,0)</f>
        <v>46508</v>
      </c>
      <c r="I202" s="13">
        <f t="shared" ca="1" si="3"/>
        <v>439</v>
      </c>
      <c r="J202" s="9" t="str">
        <f>_xlfn.XLOOKUP('Item Inventory'!C202,Table1[Category],Table1[ABC_Class],0)</f>
        <v>A</v>
      </c>
      <c r="K202" s="9" t="str">
        <f>_xlfn.XLOOKUP(C202,Table1[Category],Table1[FSN_Class],0)</f>
        <v>F</v>
      </c>
    </row>
    <row r="203" spans="1:11" ht="25.5" x14ac:dyDescent="0.55000000000000004">
      <c r="A203" s="9" t="s">
        <v>446</v>
      </c>
      <c r="B203" s="9" t="s">
        <v>182</v>
      </c>
      <c r="C203" s="9" t="s">
        <v>26</v>
      </c>
      <c r="D203" s="10">
        <v>34</v>
      </c>
      <c r="E203" s="9" t="s">
        <v>192</v>
      </c>
      <c r="F203" s="11">
        <v>21.036363636363635</v>
      </c>
      <c r="G203" s="11">
        <v>23.14</v>
      </c>
      <c r="H203" s="12">
        <f>_xlfn.XLOOKUP(B203,'[1]Raw Data Sales'!$B:$B,'[1]Raw Data Sales'!$G:$G,0)</f>
        <v>46905</v>
      </c>
      <c r="I203" s="13">
        <f t="shared" ca="1" si="3"/>
        <v>836</v>
      </c>
      <c r="J203" s="9" t="str">
        <f>_xlfn.XLOOKUP('Item Inventory'!C203,Table1[Category],Table1[ABC_Class],0)</f>
        <v>A</v>
      </c>
      <c r="K203" s="9" t="str">
        <f>_xlfn.XLOOKUP(C203,Table1[Category],Table1[FSN_Class],0)</f>
        <v>F</v>
      </c>
    </row>
    <row r="204" spans="1:11" ht="25.5" x14ac:dyDescent="0.55000000000000004">
      <c r="A204" s="9" t="s">
        <v>447</v>
      </c>
      <c r="B204" s="9" t="s">
        <v>138</v>
      </c>
      <c r="C204" s="9" t="s">
        <v>117</v>
      </c>
      <c r="D204" s="10">
        <v>64</v>
      </c>
      <c r="E204" s="9" t="s">
        <v>151</v>
      </c>
      <c r="F204" s="11">
        <v>159.19090909090909</v>
      </c>
      <c r="G204" s="11">
        <v>175.11</v>
      </c>
      <c r="H204" s="12">
        <f>_xlfn.XLOOKUP(B204,'[1]Raw Data Sales'!$B:$B,'[1]Raw Data Sales'!$G:$G,0)</f>
        <v>46478</v>
      </c>
      <c r="I204" s="13">
        <f t="shared" ca="1" si="3"/>
        <v>409</v>
      </c>
      <c r="J204" s="9" t="str">
        <f>_xlfn.XLOOKUP('Item Inventory'!C204,Table1[Category],Table1[ABC_Class],0)</f>
        <v>B</v>
      </c>
      <c r="K204" s="9" t="str">
        <f>_xlfn.XLOOKUP(C204,Table1[Category],Table1[FSN_Class],0)</f>
        <v>S</v>
      </c>
    </row>
    <row r="205" spans="1:11" ht="25.5" x14ac:dyDescent="0.55000000000000004">
      <c r="A205" s="9" t="s">
        <v>448</v>
      </c>
      <c r="B205" s="9" t="s">
        <v>139</v>
      </c>
      <c r="C205" s="9" t="s">
        <v>26</v>
      </c>
      <c r="D205" s="10">
        <v>78</v>
      </c>
      <c r="E205" s="9" t="s">
        <v>151</v>
      </c>
      <c r="F205" s="11">
        <v>229.81818181818181</v>
      </c>
      <c r="G205" s="11">
        <v>252.8</v>
      </c>
      <c r="H205" s="12">
        <f>_xlfn.XLOOKUP(B205,'[1]Raw Data Sales'!$B:$B,'[1]Raw Data Sales'!$G:$G,0)</f>
        <v>46753</v>
      </c>
      <c r="I205" s="13">
        <f t="shared" ca="1" si="3"/>
        <v>684</v>
      </c>
      <c r="J205" s="9" t="str">
        <f>_xlfn.XLOOKUP('Item Inventory'!C205,Table1[Category],Table1[ABC_Class],0)</f>
        <v>A</v>
      </c>
      <c r="K205" s="9" t="str">
        <f>_xlfn.XLOOKUP(C205,Table1[Category],Table1[FSN_Class],0)</f>
        <v>F</v>
      </c>
    </row>
    <row r="206" spans="1:11" ht="25.5" x14ac:dyDescent="0.55000000000000004">
      <c r="A206" s="9" t="s">
        <v>449</v>
      </c>
      <c r="B206" s="9" t="s">
        <v>49</v>
      </c>
      <c r="C206" s="9" t="s">
        <v>34</v>
      </c>
      <c r="D206" s="10">
        <v>41</v>
      </c>
      <c r="E206" s="9" t="s">
        <v>66</v>
      </c>
      <c r="F206" s="11">
        <v>270.12727272727267</v>
      </c>
      <c r="G206" s="11">
        <v>297.14</v>
      </c>
      <c r="H206" s="12">
        <f>_xlfn.XLOOKUP(B206,'[1]Raw Data Sales'!$B:$B,'[1]Raw Data Sales'!$G:$G,0)</f>
        <v>46296</v>
      </c>
      <c r="I206" s="13">
        <f t="shared" ca="1" si="3"/>
        <v>227</v>
      </c>
      <c r="J206" s="9" t="str">
        <f>_xlfn.XLOOKUP('Item Inventory'!C206,Table1[Category],Table1[ABC_Class],0)</f>
        <v>B</v>
      </c>
      <c r="K206" s="9" t="str">
        <f>_xlfn.XLOOKUP(C206,Table1[Category],Table1[FSN_Class],0)</f>
        <v>S</v>
      </c>
    </row>
    <row r="207" spans="1:11" ht="25.5" x14ac:dyDescent="0.55000000000000004">
      <c r="A207" s="9" t="s">
        <v>450</v>
      </c>
      <c r="B207" s="9" t="s">
        <v>140</v>
      </c>
      <c r="C207" s="9" t="s">
        <v>34</v>
      </c>
      <c r="D207" s="10">
        <v>20</v>
      </c>
      <c r="E207" s="9" t="s">
        <v>151</v>
      </c>
      <c r="F207" s="11">
        <v>145.32727272727271</v>
      </c>
      <c r="G207" s="11">
        <v>159.86000000000001</v>
      </c>
      <c r="H207" s="12">
        <f>_xlfn.XLOOKUP(B207,'[1]Raw Data Sales'!$B:$B,'[1]Raw Data Sales'!$G:$G,0)</f>
        <v>46539</v>
      </c>
      <c r="I207" s="13">
        <f t="shared" ca="1" si="3"/>
        <v>470</v>
      </c>
      <c r="J207" s="9" t="str">
        <f>_xlfn.XLOOKUP('Item Inventory'!C207,Table1[Category],Table1[ABC_Class],0)</f>
        <v>B</v>
      </c>
      <c r="K207" s="9" t="str">
        <f>_xlfn.XLOOKUP(C207,Table1[Category],Table1[FSN_Class],0)</f>
        <v>S</v>
      </c>
    </row>
    <row r="208" spans="1:11" ht="25.5" x14ac:dyDescent="0.55000000000000004">
      <c r="A208" s="9" t="s">
        <v>451</v>
      </c>
      <c r="B208" s="9" t="s">
        <v>197</v>
      </c>
      <c r="C208" s="9" t="s">
        <v>14</v>
      </c>
      <c r="D208" s="10">
        <v>39</v>
      </c>
      <c r="E208" s="9" t="s">
        <v>198</v>
      </c>
      <c r="F208" s="11">
        <v>388.96363636363634</v>
      </c>
      <c r="G208" s="11">
        <v>427.86</v>
      </c>
      <c r="H208" s="12">
        <f>_xlfn.XLOOKUP(B208,'[1]Raw Data Sales'!$B:$B,'[1]Raw Data Sales'!$G:$G,0)</f>
        <v>46905</v>
      </c>
      <c r="I208" s="13">
        <f t="shared" ca="1" si="3"/>
        <v>836</v>
      </c>
      <c r="J208" s="9" t="str">
        <f>_xlfn.XLOOKUP('Item Inventory'!C208,Table1[Category],Table1[ABC_Class],0)</f>
        <v>A</v>
      </c>
      <c r="K208" s="9" t="str">
        <f>_xlfn.XLOOKUP(C208,Table1[Category],Table1[FSN_Class],0)</f>
        <v>F</v>
      </c>
    </row>
    <row r="209" spans="1:11" ht="25.5" x14ac:dyDescent="0.55000000000000004">
      <c r="A209" s="9" t="s">
        <v>452</v>
      </c>
      <c r="B209" s="9" t="s">
        <v>141</v>
      </c>
      <c r="C209" s="9" t="s">
        <v>43</v>
      </c>
      <c r="D209" s="10">
        <v>63</v>
      </c>
      <c r="E209" s="9" t="s">
        <v>151</v>
      </c>
      <c r="F209" s="11">
        <v>10.8</v>
      </c>
      <c r="G209" s="11">
        <v>11.88</v>
      </c>
      <c r="H209" s="12">
        <f>_xlfn.XLOOKUP(B209,'[1]Raw Data Sales'!$B:$B,'[1]Raw Data Sales'!$G:$G,0)</f>
        <v>46874</v>
      </c>
      <c r="I209" s="13">
        <f t="shared" ca="1" si="3"/>
        <v>805</v>
      </c>
      <c r="J209" s="9" t="str">
        <f>_xlfn.XLOOKUP('Item Inventory'!C209,Table1[Category],Table1[ABC_Class],0)</f>
        <v>A</v>
      </c>
      <c r="K209" s="9" t="str">
        <f>_xlfn.XLOOKUP(C209,Table1[Category],Table1[FSN_Class],0)</f>
        <v>F</v>
      </c>
    </row>
    <row r="210" spans="1:11" ht="25.5" x14ac:dyDescent="0.55000000000000004">
      <c r="A210" s="9" t="s">
        <v>453</v>
      </c>
      <c r="B210" s="9" t="s">
        <v>142</v>
      </c>
      <c r="C210" s="9" t="s">
        <v>43</v>
      </c>
      <c r="D210" s="10">
        <v>84</v>
      </c>
      <c r="E210" s="9" t="s">
        <v>151</v>
      </c>
      <c r="F210" s="11">
        <v>457.9</v>
      </c>
      <c r="G210" s="11">
        <v>503.69</v>
      </c>
      <c r="H210" s="12">
        <f>_xlfn.XLOOKUP(B210,'[1]Raw Data Sales'!$B:$B,'[1]Raw Data Sales'!$G:$G,0)</f>
        <v>46874</v>
      </c>
      <c r="I210" s="13">
        <f t="shared" ca="1" si="3"/>
        <v>805</v>
      </c>
      <c r="J210" s="9" t="str">
        <f>_xlfn.XLOOKUP('Item Inventory'!C210,Table1[Category],Table1[ABC_Class],0)</f>
        <v>A</v>
      </c>
      <c r="K210" s="9" t="str">
        <f>_xlfn.XLOOKUP(C210,Table1[Category],Table1[FSN_Class],0)</f>
        <v>F</v>
      </c>
    </row>
    <row r="211" spans="1:11" ht="25.5" x14ac:dyDescent="0.55000000000000004">
      <c r="A211" s="9" t="s">
        <v>454</v>
      </c>
      <c r="B211" s="9" t="s">
        <v>143</v>
      </c>
      <c r="C211" s="9" t="s">
        <v>41</v>
      </c>
      <c r="D211" s="10">
        <v>43</v>
      </c>
      <c r="E211" s="9" t="s">
        <v>151</v>
      </c>
      <c r="F211" s="11">
        <v>111.86363636363635</v>
      </c>
      <c r="G211" s="11">
        <v>123.05</v>
      </c>
      <c r="H211" s="12">
        <f>_xlfn.XLOOKUP(B211,'[1]Raw Data Sales'!$B:$B,'[1]Raw Data Sales'!$G:$G,0)</f>
        <v>46569</v>
      </c>
      <c r="I211" s="13">
        <f t="shared" ca="1" si="3"/>
        <v>500</v>
      </c>
      <c r="J211" s="9" t="str">
        <f>_xlfn.XLOOKUP('Item Inventory'!C211,Table1[Category],Table1[ABC_Class],0)</f>
        <v>A</v>
      </c>
      <c r="K211" s="9" t="str">
        <f>_xlfn.XLOOKUP(C211,Table1[Category],Table1[FSN_Class],0)</f>
        <v>S</v>
      </c>
    </row>
    <row r="212" spans="1:11" ht="25.5" x14ac:dyDescent="0.55000000000000004">
      <c r="A212" s="9" t="s">
        <v>455</v>
      </c>
      <c r="B212" s="9" t="s">
        <v>144</v>
      </c>
      <c r="C212" s="9" t="s">
        <v>26</v>
      </c>
      <c r="D212" s="10">
        <v>68</v>
      </c>
      <c r="E212" s="9" t="s">
        <v>151</v>
      </c>
      <c r="F212" s="11">
        <v>155.14545454545453</v>
      </c>
      <c r="G212" s="11">
        <v>170.66</v>
      </c>
      <c r="H212" s="12">
        <f>_xlfn.XLOOKUP(B212,'[1]Raw Data Sales'!$B:$B,'[1]Raw Data Sales'!$G:$G,0)</f>
        <v>46419</v>
      </c>
      <c r="I212" s="13">
        <f t="shared" ca="1" si="3"/>
        <v>350</v>
      </c>
      <c r="J212" s="9" t="str">
        <f>_xlfn.XLOOKUP('Item Inventory'!C212,Table1[Category],Table1[ABC_Class],0)</f>
        <v>A</v>
      </c>
      <c r="K212" s="9" t="str">
        <f>_xlfn.XLOOKUP(C212,Table1[Category],Table1[FSN_Class],0)</f>
        <v>F</v>
      </c>
    </row>
    <row r="213" spans="1:11" ht="25.5" x14ac:dyDescent="0.55000000000000004">
      <c r="A213" s="9" t="s">
        <v>456</v>
      </c>
      <c r="B213" s="9" t="s">
        <v>145</v>
      </c>
      <c r="C213" s="9" t="s">
        <v>34</v>
      </c>
      <c r="D213" s="10">
        <v>72</v>
      </c>
      <c r="E213" s="9" t="s">
        <v>151</v>
      </c>
      <c r="F213" s="11">
        <v>33.327272727272721</v>
      </c>
      <c r="G213" s="11">
        <v>36.659999999999997</v>
      </c>
      <c r="H213" s="12">
        <f>_xlfn.XLOOKUP(B213,'[1]Raw Data Sales'!$B:$B,'[1]Raw Data Sales'!$G:$G,0)</f>
        <v>46478</v>
      </c>
      <c r="I213" s="13">
        <f t="shared" ca="1" si="3"/>
        <v>409</v>
      </c>
      <c r="J213" s="9" t="str">
        <f>_xlfn.XLOOKUP('Item Inventory'!C213,Table1[Category],Table1[ABC_Class],0)</f>
        <v>B</v>
      </c>
      <c r="K213" s="9" t="str">
        <f>_xlfn.XLOOKUP(C213,Table1[Category],Table1[FSN_Class],0)</f>
        <v>S</v>
      </c>
    </row>
    <row r="214" spans="1:11" ht="25.5" x14ac:dyDescent="0.55000000000000004">
      <c r="A214" s="9" t="s">
        <v>457</v>
      </c>
      <c r="B214" s="9" t="s">
        <v>146</v>
      </c>
      <c r="C214" s="9" t="s">
        <v>41</v>
      </c>
      <c r="D214" s="10">
        <v>70</v>
      </c>
      <c r="E214" s="9" t="s">
        <v>151</v>
      </c>
      <c r="F214" s="11">
        <v>107.36363636363635</v>
      </c>
      <c r="G214" s="11">
        <v>118.1</v>
      </c>
      <c r="H214" s="12">
        <f>_xlfn.XLOOKUP(B214,'[1]Raw Data Sales'!$B:$B,'[1]Raw Data Sales'!$G:$G,0)</f>
        <v>46966</v>
      </c>
      <c r="I214" s="13">
        <f t="shared" ca="1" si="3"/>
        <v>897</v>
      </c>
      <c r="J214" s="9" t="str">
        <f>_xlfn.XLOOKUP('Item Inventory'!C214,Table1[Category],Table1[ABC_Class],0)</f>
        <v>A</v>
      </c>
      <c r="K214" s="9" t="str">
        <f>_xlfn.XLOOKUP(C214,Table1[Category],Table1[FSN_Class],0)</f>
        <v>S</v>
      </c>
    </row>
    <row r="215" spans="1:11" ht="25.5" x14ac:dyDescent="0.55000000000000004">
      <c r="A215" s="9" t="s">
        <v>204</v>
      </c>
      <c r="B215" s="9" t="s">
        <v>383</v>
      </c>
      <c r="C215" s="9" t="s">
        <v>14</v>
      </c>
      <c r="D215" s="10">
        <v>57</v>
      </c>
      <c r="E215" s="9" t="s">
        <v>416</v>
      </c>
      <c r="F215" s="15" t="s">
        <v>416</v>
      </c>
      <c r="G215" s="11">
        <v>726</v>
      </c>
      <c r="H215" s="14">
        <v>45717</v>
      </c>
      <c r="I215" s="13">
        <f t="shared" ca="1" si="3"/>
        <v>-352</v>
      </c>
      <c r="J215" s="9" t="s">
        <v>467</v>
      </c>
      <c r="K215" s="9" t="str">
        <f>_xlfn.XLOOKUP(C215,Table1[Category],Table1[FSN_Class],0)</f>
        <v>F</v>
      </c>
    </row>
    <row r="216" spans="1:11" ht="25.5" x14ac:dyDescent="0.55000000000000004">
      <c r="A216" s="9" t="s">
        <v>459</v>
      </c>
      <c r="B216" s="9" t="s">
        <v>147</v>
      </c>
      <c r="C216" s="9" t="s">
        <v>14</v>
      </c>
      <c r="D216" s="10">
        <v>57</v>
      </c>
      <c r="E216" s="9" t="s">
        <v>151</v>
      </c>
      <c r="F216" s="11">
        <v>300.15454545454543</v>
      </c>
      <c r="G216" s="11">
        <v>330.17</v>
      </c>
      <c r="H216" s="12">
        <f>_xlfn.XLOOKUP(B216,'[1]Raw Data Sales'!$B:$B,'[1]Raw Data Sales'!$G:$G,0)</f>
        <v>46388</v>
      </c>
      <c r="I216" s="13">
        <f t="shared" ca="1" si="3"/>
        <v>319</v>
      </c>
      <c r="J216" s="9" t="str">
        <f>_xlfn.XLOOKUP('Item Inventory'!C216,Table1[Category],Table1[ABC_Class],0)</f>
        <v>A</v>
      </c>
      <c r="K216" s="9" t="str">
        <f>_xlfn.XLOOKUP(C216,Table1[Category],Table1[FSN_Class],0)</f>
        <v>F</v>
      </c>
    </row>
    <row r="217" spans="1:11" ht="25.5" x14ac:dyDescent="0.55000000000000004">
      <c r="A217" s="9" t="s">
        <v>460</v>
      </c>
      <c r="B217" s="9" t="s">
        <v>148</v>
      </c>
      <c r="C217" s="9" t="s">
        <v>64</v>
      </c>
      <c r="D217" s="10">
        <v>98</v>
      </c>
      <c r="E217" s="9" t="s">
        <v>151</v>
      </c>
      <c r="F217" s="11">
        <v>124.34545454545453</v>
      </c>
      <c r="G217" s="11">
        <v>136.78</v>
      </c>
      <c r="H217" s="12">
        <f>_xlfn.XLOOKUP(B217,'[1]Raw Data Sales'!$B:$B,'[1]Raw Data Sales'!$G:$G,0)</f>
        <v>46569</v>
      </c>
      <c r="I217" s="13">
        <f t="shared" ca="1" si="3"/>
        <v>500</v>
      </c>
      <c r="J217" s="9" t="str">
        <f>_xlfn.XLOOKUP('Item Inventory'!C217,Table1[Category],Table1[ABC_Class],0)</f>
        <v>C</v>
      </c>
      <c r="K217" s="9" t="str">
        <f>_xlfn.XLOOKUP(C217,Table1[Category],Table1[FSN_Class],0)</f>
        <v>N</v>
      </c>
    </row>
    <row r="218" spans="1:11" ht="25.5" x14ac:dyDescent="0.55000000000000004">
      <c r="A218" s="9" t="s">
        <v>461</v>
      </c>
      <c r="B218" s="9" t="s">
        <v>57</v>
      </c>
      <c r="C218" s="9" t="s">
        <v>12</v>
      </c>
      <c r="D218" s="9"/>
      <c r="E218" s="9" t="s">
        <v>66</v>
      </c>
      <c r="F218" s="11">
        <v>51.663636363636357</v>
      </c>
      <c r="G218" s="11">
        <v>56.83</v>
      </c>
      <c r="H218" s="12">
        <f>_xlfn.XLOOKUP(B218,'[1]Raw Data Sales'!$B:$B,'[1]Raw Data Sales'!$G:$G,0)</f>
        <v>46784</v>
      </c>
      <c r="I218" s="13">
        <f t="shared" ca="1" si="3"/>
        <v>715</v>
      </c>
      <c r="J218" s="9" t="str">
        <f>_xlfn.XLOOKUP('Item Inventory'!C218,Table1[Category],Table1[ABC_Class],0)</f>
        <v>A</v>
      </c>
      <c r="K218" s="9" t="str">
        <f>_xlfn.XLOOKUP(C218,Table1[Category],Table1[FSN_Class],0)</f>
        <v>F</v>
      </c>
    </row>
  </sheetData>
  <mergeCells count="1">
    <mergeCell ref="A1:K1"/>
  </mergeCells>
  <phoneticPr fontId="1" type="noConversion"/>
  <conditionalFormatting sqref="I2:I218">
    <cfRule type="cellIs" dxfId="12" priority="1" operator="equal">
      <formula>60</formula>
    </cfRule>
    <cfRule type="cellIs" dxfId="11" priority="2" operator="lessThan">
      <formula>0</formula>
    </cfRule>
    <cfRule type="cellIs" dxfId="10" priority="3" operator="between">
      <formula>61</formula>
      <formula>100</formula>
    </cfRule>
  </conditionalFormatting>
  <conditionalFormatting sqref="I3:I23 I25:I218">
    <cfRule type="cellIs" dxfId="9" priority="7" operator="between">
      <formula>0</formula>
      <formula>59</formula>
    </cfRule>
  </conditionalFormatting>
  <pageMargins left="0.7" right="0.7" top="0.75" bottom="0.75" header="0.3" footer="0.3"/>
  <ignoredErrors>
    <ignoredError sqref="D9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4107-2CF5-4ACF-A17F-CA290D8A4D15}">
  <dimension ref="A1:F15"/>
  <sheetViews>
    <sheetView zoomScale="77" workbookViewId="0">
      <selection activeCell="E21" sqref="E21"/>
    </sheetView>
  </sheetViews>
  <sheetFormatPr defaultRowHeight="14.5" x14ac:dyDescent="0.35"/>
  <cols>
    <col min="1" max="1" width="31.6328125" customWidth="1"/>
    <col min="2" max="2" width="25.08984375" customWidth="1"/>
    <col min="3" max="3" width="23.90625" customWidth="1"/>
    <col min="4" max="4" width="28.54296875" customWidth="1"/>
    <col min="5" max="5" width="47.81640625" customWidth="1"/>
    <col min="6" max="6" width="51" customWidth="1"/>
    <col min="11" max="11" width="33.6328125" customWidth="1"/>
  </cols>
  <sheetData>
    <row r="1" spans="1:6" s="18" customFormat="1" ht="33.5" customHeight="1" x14ac:dyDescent="0.35">
      <c r="A1" s="20" t="s">
        <v>2</v>
      </c>
      <c r="B1" s="20" t="s">
        <v>6</v>
      </c>
      <c r="C1" s="20" t="s">
        <v>7</v>
      </c>
      <c r="D1" s="20" t="s">
        <v>464</v>
      </c>
      <c r="E1" s="20" t="s">
        <v>465</v>
      </c>
      <c r="F1" s="20" t="s">
        <v>466</v>
      </c>
    </row>
    <row r="2" spans="1:6" ht="19.5" customHeight="1" x14ac:dyDescent="0.35">
      <c r="A2" s="19" t="s">
        <v>14</v>
      </c>
      <c r="B2" s="19" t="s">
        <v>467</v>
      </c>
      <c r="C2" s="19" t="str">
        <f>_xlfn.XLOOKUP(A2,'[1]Analysis I'!$G$25:$G$39,'[1]Analysis I'!$L$25:$L$39,0)</f>
        <v>F</v>
      </c>
      <c r="D2" s="19" t="s">
        <v>470</v>
      </c>
      <c r="E2" s="19" t="s">
        <v>478</v>
      </c>
      <c r="F2" s="19" t="s">
        <v>482</v>
      </c>
    </row>
    <row r="3" spans="1:6" x14ac:dyDescent="0.35">
      <c r="A3" s="19" t="s">
        <v>12</v>
      </c>
      <c r="B3" s="19" t="s">
        <v>467</v>
      </c>
      <c r="C3" s="19" t="str">
        <f>_xlfn.XLOOKUP(A3,'[1]Analysis I'!$G$25:$G$39,'[1]Analysis I'!$L$25:$L$39,0)</f>
        <v>F</v>
      </c>
      <c r="D3" s="19" t="s">
        <v>471</v>
      </c>
      <c r="E3" s="19" t="s">
        <v>472</v>
      </c>
      <c r="F3" s="19" t="s">
        <v>481</v>
      </c>
    </row>
    <row r="4" spans="1:6" x14ac:dyDescent="0.35">
      <c r="A4" s="19" t="s">
        <v>41</v>
      </c>
      <c r="B4" s="19" t="s">
        <v>467</v>
      </c>
      <c r="C4" s="19" t="str">
        <f>_xlfn.XLOOKUP(A4,'[1]Analysis I'!$G$25:$G$39,'[1]Analysis I'!$L$25:$L$39,0)</f>
        <v>S</v>
      </c>
      <c r="D4" s="19" t="s">
        <v>471</v>
      </c>
      <c r="E4" s="19" t="s">
        <v>472</v>
      </c>
      <c r="F4" s="19" t="s">
        <v>481</v>
      </c>
    </row>
    <row r="5" spans="1:6" x14ac:dyDescent="0.35">
      <c r="A5" s="19" t="s">
        <v>43</v>
      </c>
      <c r="B5" s="19" t="s">
        <v>467</v>
      </c>
      <c r="C5" s="19" t="str">
        <f>_xlfn.XLOOKUP(A5,'[1]Analysis I'!$G$25:$G$39,'[1]Analysis I'!$L$25:$L$39,0)</f>
        <v>F</v>
      </c>
      <c r="D5" s="19" t="s">
        <v>471</v>
      </c>
      <c r="E5" s="19" t="s">
        <v>472</v>
      </c>
      <c r="F5" s="19" t="s">
        <v>481</v>
      </c>
    </row>
    <row r="6" spans="1:6" x14ac:dyDescent="0.35">
      <c r="A6" s="19" t="s">
        <v>26</v>
      </c>
      <c r="B6" s="19" t="s">
        <v>467</v>
      </c>
      <c r="C6" s="19" t="str">
        <f>_xlfn.XLOOKUP(A6,'[1]Analysis I'!$G$25:$G$39,'[1]Analysis I'!$L$25:$L$39,0)</f>
        <v>F</v>
      </c>
      <c r="D6" s="19" t="s">
        <v>470</v>
      </c>
      <c r="E6" s="19" t="s">
        <v>478</v>
      </c>
      <c r="F6" s="19" t="s">
        <v>482</v>
      </c>
    </row>
    <row r="7" spans="1:6" x14ac:dyDescent="0.35">
      <c r="A7" s="19" t="s">
        <v>47</v>
      </c>
      <c r="B7" s="19" t="s">
        <v>468</v>
      </c>
      <c r="C7" s="19" t="str">
        <f>_xlfn.XLOOKUP(A7,'[1]Analysis I'!$G$25:$G$39,'[1]Analysis I'!$L$25:$L$39,0)</f>
        <v>F</v>
      </c>
      <c r="D7" s="19" t="s">
        <v>477</v>
      </c>
      <c r="E7" s="19" t="s">
        <v>479</v>
      </c>
      <c r="F7" s="19" t="s">
        <v>483</v>
      </c>
    </row>
    <row r="8" spans="1:6" x14ac:dyDescent="0.35">
      <c r="A8" s="19" t="s">
        <v>13</v>
      </c>
      <c r="B8" s="19" t="s">
        <v>468</v>
      </c>
      <c r="C8" s="19" t="str">
        <f>_xlfn.XLOOKUP(A8,'[1]Analysis I'!$G$25:$G$39,'[1]Analysis I'!$L$25:$L$39,0)</f>
        <v>N</v>
      </c>
      <c r="D8" s="19" t="s">
        <v>477</v>
      </c>
      <c r="E8" s="19" t="s">
        <v>479</v>
      </c>
      <c r="F8" s="19" t="s">
        <v>483</v>
      </c>
    </row>
    <row r="9" spans="1:6" x14ac:dyDescent="0.35">
      <c r="A9" s="19" t="s">
        <v>117</v>
      </c>
      <c r="B9" s="19" t="s">
        <v>468</v>
      </c>
      <c r="C9" s="19" t="str">
        <f>_xlfn.XLOOKUP(A9,'[1]Analysis I'!$G$25:$G$39,'[1]Analysis I'!$L$25:$L$39,0)</f>
        <v>S</v>
      </c>
      <c r="D9" s="19" t="s">
        <v>477</v>
      </c>
      <c r="E9" s="19" t="s">
        <v>479</v>
      </c>
      <c r="F9" s="19" t="s">
        <v>483</v>
      </c>
    </row>
    <row r="10" spans="1:6" x14ac:dyDescent="0.35">
      <c r="A10" s="19" t="s">
        <v>34</v>
      </c>
      <c r="B10" s="19" t="s">
        <v>468</v>
      </c>
      <c r="C10" s="19" t="str">
        <f>_xlfn.XLOOKUP(A10,'[1]Analysis I'!$G$25:$G$39,'[1]Analysis I'!$L$25:$L$39,0)</f>
        <v>S</v>
      </c>
      <c r="D10" s="19" t="s">
        <v>471</v>
      </c>
      <c r="E10" s="19" t="s">
        <v>479</v>
      </c>
      <c r="F10" s="19" t="s">
        <v>483</v>
      </c>
    </row>
    <row r="11" spans="1:6" x14ac:dyDescent="0.35">
      <c r="A11" s="19" t="s">
        <v>39</v>
      </c>
      <c r="B11" s="19" t="s">
        <v>469</v>
      </c>
      <c r="C11" s="19" t="str">
        <f>_xlfn.XLOOKUP(A11,'[1]Analysis I'!$G$25:$G$39,'[1]Analysis I'!$L$25:$L$39,0)</f>
        <v>S</v>
      </c>
      <c r="D11" s="19" t="s">
        <v>471</v>
      </c>
      <c r="E11" s="19" t="s">
        <v>473</v>
      </c>
      <c r="F11" s="19" t="s">
        <v>484</v>
      </c>
    </row>
    <row r="12" spans="1:6" x14ac:dyDescent="0.35">
      <c r="A12" s="19" t="s">
        <v>64</v>
      </c>
      <c r="B12" s="19" t="s">
        <v>469</v>
      </c>
      <c r="C12" s="19" t="str">
        <f>_xlfn.XLOOKUP(A12,'[1]Analysis I'!$G$25:$G$39,'[1]Analysis I'!$L$25:$L$39,0)</f>
        <v>N</v>
      </c>
      <c r="D12" s="19" t="s">
        <v>471</v>
      </c>
      <c r="E12" s="19" t="s">
        <v>473</v>
      </c>
      <c r="F12" s="19" t="s">
        <v>484</v>
      </c>
    </row>
    <row r="13" spans="1:6" x14ac:dyDescent="0.35">
      <c r="A13" s="19" t="s">
        <v>94</v>
      </c>
      <c r="B13" s="19" t="s">
        <v>469</v>
      </c>
      <c r="C13" s="19" t="str">
        <f>_xlfn.XLOOKUP(A13,'[1]Analysis I'!$G$25:$G$39,'[1]Analysis I'!$L$25:$L$39,0)</f>
        <v>N</v>
      </c>
      <c r="D13" s="19" t="s">
        <v>471</v>
      </c>
      <c r="E13" s="19" t="s">
        <v>473</v>
      </c>
      <c r="F13" s="19" t="s">
        <v>484</v>
      </c>
    </row>
    <row r="14" spans="1:6" x14ac:dyDescent="0.35">
      <c r="A14" s="19" t="s">
        <v>17</v>
      </c>
      <c r="B14" s="19" t="s">
        <v>469</v>
      </c>
      <c r="C14" s="19" t="str">
        <f>_xlfn.XLOOKUP(A14,'[1]Analysis I'!$G$25:$G$39,'[1]Analysis I'!$L$25:$L$39,0)</f>
        <v>N</v>
      </c>
      <c r="D14" s="19" t="s">
        <v>471</v>
      </c>
      <c r="E14" s="19" t="s">
        <v>473</v>
      </c>
      <c r="F14" s="19" t="s">
        <v>484</v>
      </c>
    </row>
    <row r="15" spans="1:6" x14ac:dyDescent="0.35">
      <c r="A15" s="19" t="s">
        <v>161</v>
      </c>
      <c r="B15" s="19" t="s">
        <v>469</v>
      </c>
      <c r="C15" s="19" t="str">
        <f>_xlfn.XLOOKUP(A15,'[1]Analysis I'!$G$25:$G$39,'[1]Analysis I'!$L$25:$L$39,0)</f>
        <v>N</v>
      </c>
      <c r="D15" s="19" t="s">
        <v>470</v>
      </c>
      <c r="E15" s="19" t="s">
        <v>480</v>
      </c>
      <c r="F15" s="19" t="s">
        <v>485</v>
      </c>
    </row>
  </sheetData>
  <conditionalFormatting sqref="E1:E15">
    <cfRule type="cellIs" dxfId="8" priority="9" stopIfTrue="1" operator="equal">
      <formula>$E$3</formula>
    </cfRule>
  </conditionalFormatting>
  <conditionalFormatting sqref="E2:E15">
    <cfRule type="cellIs" dxfId="7" priority="3" operator="equal">
      <formula>$E$12</formula>
    </cfRule>
    <cfRule type="cellIs" dxfId="6" priority="4" operator="equal">
      <formula>$E$7</formula>
    </cfRule>
    <cfRule type="cellIs" dxfId="5" priority="5" operator="equal">
      <formula>$E$3</formula>
    </cfRule>
    <cfRule type="cellIs" dxfId="4" priority="6" operator="equal">
      <formula>$E$2</formula>
    </cfRule>
    <cfRule type="cellIs" dxfId="3" priority="7" stopIfTrue="1" operator="equal">
      <formula>$E$7</formula>
    </cfRule>
    <cfRule type="cellIs" dxfId="2" priority="8" stopIfTrue="1" operator="equal">
      <formula>$E$2</formula>
    </cfRule>
  </conditionalFormatting>
  <conditionalFormatting sqref="E15">
    <cfRule type="cellIs" dxfId="1" priority="1" operator="equal">
      <formula>$E$15</formula>
    </cfRule>
    <cfRule type="cellIs" dxfId="0" priority="2" operator="equal">
      <formula>$E$15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Inventory</vt:lpstr>
      <vt:lpstr>Inventory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riddhi2721@outlook.com</dc:creator>
  <cp:lastModifiedBy>riddhi2721@outlook.com</cp:lastModifiedBy>
  <dcterms:created xsi:type="dcterms:W3CDTF">2025-12-13T13:36:54Z</dcterms:created>
  <dcterms:modified xsi:type="dcterms:W3CDTF">2026-02-16T12:57:09Z</dcterms:modified>
</cp:coreProperties>
</file>