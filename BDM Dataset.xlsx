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6818def4d35aa2/Desktop/Riddhi Shetty/BDM PROJECT/"/>
    </mc:Choice>
  </mc:AlternateContent>
  <xr:revisionPtr revIDLastSave="19" documentId="14_{5AFD6081-711D-425B-998B-643C33589A5D}" xr6:coauthVersionLast="47" xr6:coauthVersionMax="47" xr10:uidLastSave="{05CCC58B-21FE-44BF-A8DE-91484C61B415}"/>
  <bookViews>
    <workbookView xWindow="-110" yWindow="-110" windowWidth="19420" windowHeight="10300" firstSheet="3" activeTab="7" xr2:uid="{6FB36350-E11A-4534-ABB2-90D5A1DB541A}"/>
  </bookViews>
  <sheets>
    <sheet name="Raw Data Sales" sheetId="1" r:id="rId1"/>
    <sheet name="Raw Data Expiry Date" sheetId="4" r:id="rId2"/>
    <sheet name="Sheet6" sheetId="18" state="hidden" r:id="rId3"/>
    <sheet name="Cleaned data Sales" sheetId="7" r:id="rId4"/>
    <sheet name="Cleaned data Expiry" sheetId="8" r:id="rId5"/>
    <sheet name="Analysis I" sheetId="20" r:id="rId6"/>
    <sheet name="Analysis II" sheetId="21" r:id="rId7"/>
    <sheet name="Analysis III" sheetId="22" r:id="rId8"/>
    <sheet name="Categorical Sales Value" sheetId="15" r:id="rId9"/>
    <sheet name="Daily Revenue analysis " sheetId="10" r:id="rId10"/>
    <sheet name="Expiry products Analysis" sheetId="19" r:id="rId11"/>
  </sheets>
  <definedNames>
    <definedName name="_xlnm._FilterDatabase" localSheetId="5" hidden="1">'Analysis I'!$G$3:$I$17</definedName>
    <definedName name="_xlnm._FilterDatabase" localSheetId="7" hidden="1">'Analysis III'!$B$3:$F$17</definedName>
    <definedName name="_xlnm._FilterDatabase" localSheetId="4" hidden="1">'Cleaned data Expiry'!$A$1:$G$46</definedName>
    <definedName name="_xlnm._FilterDatabase" localSheetId="3" hidden="1">'Cleaned data Sales'!$A$1:$N$583</definedName>
    <definedName name="_xlnm._FilterDatabase" localSheetId="1" hidden="1">'Raw Data Expiry Date'!$A$1:$F$1</definedName>
    <definedName name="_xlnm._FilterDatabase" localSheetId="0" hidden="1">'Raw Data Sales'!$A$1:$P$583</definedName>
    <definedName name="_xlchart.v1.0" hidden="1">'Categorical Sales Value'!$K$39:$K$52</definedName>
    <definedName name="_xlchart.v1.1" hidden="1">'Categorical Sales Value'!$L$38</definedName>
    <definedName name="_xlchart.v1.2" hidden="1">'Categorical Sales Value'!$L$39:$L$52</definedName>
    <definedName name="_xlchart.v1.3" hidden="1">'Categorical Sales Value'!$M$38</definedName>
    <definedName name="_xlchart.v1.4" hidden="1">'Categorical Sales Value'!$M$39:$M$52</definedName>
    <definedName name="_xlchart.v1.5" hidden="1">'Expiry products Analysis'!$D$4:$D$13</definedName>
    <definedName name="_xlchart.v1.6" hidden="1">'Expiry products Analysis'!$E$3</definedName>
    <definedName name="_xlchart.v1.7" hidden="1">'Expiry products Analysis'!$E$4:$E$13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5" l="1"/>
  <c r="C6" i="15"/>
  <c r="C7" i="15"/>
  <c r="C8" i="15"/>
  <c r="C9" i="15"/>
  <c r="C10" i="15"/>
  <c r="C11" i="15"/>
  <c r="C12" i="15"/>
  <c r="C13" i="15"/>
  <c r="C14" i="15"/>
  <c r="C15" i="15"/>
  <c r="C16" i="15"/>
  <c r="C17" i="15"/>
  <c r="C4" i="15"/>
  <c r="Y23" i="22" l="1" a="1"/>
  <c r="Y23" i="22" s="1"/>
  <c r="Y36" i="22" a="1"/>
  <c r="Y36" i="22" s="1"/>
  <c r="Y35" i="22" a="1"/>
  <c r="Y35" i="22" s="1"/>
  <c r="Y34" i="22" a="1"/>
  <c r="Y34" i="22" s="1"/>
  <c r="Y33" i="22" a="1"/>
  <c r="Y33" i="22" s="1"/>
  <c r="Y32" i="22" a="1"/>
  <c r="Y32" i="22" s="1"/>
  <c r="Y31" i="22" a="1"/>
  <c r="Y31" i="22" s="1"/>
  <c r="Y30" i="22" a="1"/>
  <c r="Y30" i="22" s="1"/>
  <c r="Y29" i="22" a="1"/>
  <c r="Y29" i="22" s="1"/>
  <c r="Y28" i="22" a="1"/>
  <c r="Y28" i="22" s="1"/>
  <c r="Y27" i="22" a="1"/>
  <c r="Y27" i="22" s="1"/>
  <c r="Y26" i="22" a="1"/>
  <c r="Y26" i="22" s="1"/>
  <c r="Y25" i="22" a="1"/>
  <c r="Y25" i="22" s="1"/>
  <c r="Y24" i="22" a="1"/>
  <c r="Y24" i="22" s="1"/>
  <c r="K5" i="22" l="1"/>
  <c r="K6" i="22"/>
  <c r="K7" i="22"/>
  <c r="K8" i="22"/>
  <c r="K9" i="22"/>
  <c r="K10" i="22"/>
  <c r="K11" i="22"/>
  <c r="K12" i="22"/>
  <c r="K13" i="22"/>
  <c r="K14" i="22"/>
  <c r="K15" i="22"/>
  <c r="K16" i="22"/>
  <c r="K17" i="22"/>
  <c r="K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4" i="22"/>
  <c r="S6" i="19" l="1"/>
  <c r="S7" i="19"/>
  <c r="S8" i="19"/>
  <c r="S9" i="19"/>
  <c r="S10" i="19"/>
  <c r="S11" i="19"/>
  <c r="S12" i="19"/>
  <c r="S14" i="19"/>
  <c r="S5" i="19"/>
  <c r="O6" i="19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39" i="15"/>
  <c r="L55" i="15"/>
  <c r="K4" i="2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7" i="10"/>
  <c r="O5" i="19"/>
  <c r="H16" i="10"/>
  <c r="H15" i="10"/>
  <c r="N12" i="10"/>
  <c r="N11" i="10"/>
  <c r="N10" i="10"/>
  <c r="N9" i="10"/>
  <c r="G23" i="21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4" i="22"/>
  <c r="C4" i="22"/>
  <c r="C17" i="22"/>
  <c r="C10" i="22"/>
  <c r="C11" i="22"/>
  <c r="C12" i="22"/>
  <c r="C13" i="22"/>
  <c r="C14" i="22"/>
  <c r="C15" i="22"/>
  <c r="C16" i="22"/>
  <c r="C5" i="22"/>
  <c r="C6" i="22"/>
  <c r="C7" i="22"/>
  <c r="C8" i="22"/>
  <c r="C9" i="22"/>
  <c r="Q29" i="15"/>
  <c r="Q26" i="15"/>
  <c r="C28" i="20"/>
  <c r="R44" i="20"/>
  <c r="R45" i="20"/>
  <c r="R46" i="20"/>
  <c r="R47" i="20"/>
  <c r="R48" i="20"/>
  <c r="R49" i="20"/>
  <c r="R50" i="20"/>
  <c r="R51" i="20"/>
  <c r="R52" i="20"/>
  <c r="R43" i="20"/>
  <c r="K5" i="19"/>
  <c r="K6" i="19"/>
  <c r="K7" i="19"/>
  <c r="K8" i="19"/>
  <c r="K9" i="19"/>
  <c r="K10" i="19"/>
  <c r="K11" i="19"/>
  <c r="K12" i="19"/>
  <c r="K13" i="19"/>
  <c r="K4" i="19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F23" i="21"/>
  <c r="H23" i="21" s="1"/>
  <c r="F24" i="21"/>
  <c r="F25" i="21"/>
  <c r="F26" i="21"/>
  <c r="F27" i="21"/>
  <c r="H27" i="21" s="1"/>
  <c r="F28" i="21"/>
  <c r="H28" i="21" s="1"/>
  <c r="F29" i="21"/>
  <c r="F30" i="21"/>
  <c r="F31" i="21"/>
  <c r="F32" i="21"/>
  <c r="F33" i="21"/>
  <c r="F34" i="21"/>
  <c r="F35" i="21"/>
  <c r="H35" i="21" s="1"/>
  <c r="F36" i="21"/>
  <c r="H36" i="21" s="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5" i="21"/>
  <c r="G6" i="21"/>
  <c r="H6" i="21" s="1"/>
  <c r="G7" i="21"/>
  <c r="H7" i="21" s="1"/>
  <c r="J7" i="21" s="1"/>
  <c r="P6" i="21" s="1"/>
  <c r="G8" i="21"/>
  <c r="H8" i="21" s="1"/>
  <c r="G9" i="21"/>
  <c r="H9" i="21" s="1"/>
  <c r="G10" i="21"/>
  <c r="H10" i="21" s="1"/>
  <c r="G11" i="21"/>
  <c r="H11" i="21" s="1"/>
  <c r="G12" i="21"/>
  <c r="H12" i="21" s="1"/>
  <c r="G13" i="21"/>
  <c r="H13" i="21" s="1"/>
  <c r="G14" i="21"/>
  <c r="H14" i="21" s="1"/>
  <c r="G15" i="21"/>
  <c r="H15" i="21" s="1"/>
  <c r="J15" i="21" s="1"/>
  <c r="P13" i="21" s="1"/>
  <c r="G16" i="21"/>
  <c r="H16" i="21" s="1"/>
  <c r="G17" i="21"/>
  <c r="H17" i="21" s="1"/>
  <c r="G18" i="21"/>
  <c r="H18" i="21" s="1"/>
  <c r="G5" i="21"/>
  <c r="H5" i="21" s="1"/>
  <c r="K44" i="20"/>
  <c r="K43" i="20"/>
  <c r="K42" i="20"/>
  <c r="J26" i="20"/>
  <c r="P7" i="20"/>
  <c r="O5" i="20"/>
  <c r="P5" i="20"/>
  <c r="I39" i="20"/>
  <c r="I31" i="20"/>
  <c r="I30" i="20"/>
  <c r="I35" i="20"/>
  <c r="I34" i="20"/>
  <c r="I36" i="20"/>
  <c r="I32" i="20"/>
  <c r="I38" i="20"/>
  <c r="I28" i="20"/>
  <c r="I33" i="20"/>
  <c r="I27" i="20"/>
  <c r="I37" i="20"/>
  <c r="I29" i="20"/>
  <c r="J4" i="20"/>
  <c r="J5" i="20" s="1"/>
  <c r="I16" i="20"/>
  <c r="I6" i="20"/>
  <c r="I9" i="20"/>
  <c r="I14" i="20"/>
  <c r="I11" i="20"/>
  <c r="I15" i="20"/>
  <c r="I12" i="20"/>
  <c r="I17" i="20"/>
  <c r="I8" i="20"/>
  <c r="I13" i="20"/>
  <c r="I4" i="20"/>
  <c r="I10" i="20"/>
  <c r="I7" i="20"/>
  <c r="I5" i="20"/>
  <c r="K18" i="19"/>
  <c r="K21" i="19"/>
  <c r="H14" i="10"/>
  <c r="H10" i="10"/>
  <c r="H13" i="10"/>
  <c r="G46" i="8"/>
  <c r="G45" i="8"/>
  <c r="G44" i="8"/>
  <c r="G43" i="8"/>
  <c r="G42" i="8"/>
  <c r="G41" i="8"/>
  <c r="G40" i="8"/>
  <c r="G39" i="8"/>
  <c r="G38" i="8"/>
  <c r="G37" i="8"/>
  <c r="H11" i="10"/>
  <c r="H9" i="10"/>
  <c r="J3" i="7"/>
  <c r="K3" i="7" s="1"/>
  <c r="J4" i="7"/>
  <c r="K4" i="7" s="1"/>
  <c r="J5" i="7"/>
  <c r="K5" i="7" s="1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K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K84" i="7" s="1"/>
  <c r="J85" i="7"/>
  <c r="K85" i="7" s="1"/>
  <c r="J86" i="7"/>
  <c r="K86" i="7" s="1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K96" i="7" s="1"/>
  <c r="J97" i="7"/>
  <c r="K97" i="7" s="1"/>
  <c r="J98" i="7"/>
  <c r="K98" i="7" s="1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K104" i="7" s="1"/>
  <c r="J105" i="7"/>
  <c r="K105" i="7" s="1"/>
  <c r="J106" i="7"/>
  <c r="K106" i="7" s="1"/>
  <c r="J107" i="7"/>
  <c r="K107" i="7" s="1"/>
  <c r="J108" i="7"/>
  <c r="K108" i="7" s="1"/>
  <c r="J109" i="7"/>
  <c r="K109" i="7" s="1"/>
  <c r="J110" i="7"/>
  <c r="K110" i="7" s="1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K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K168" i="7" s="1"/>
  <c r="J169" i="7"/>
  <c r="K169" i="7" s="1"/>
  <c r="J170" i="7"/>
  <c r="K170" i="7" s="1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K180" i="7" s="1"/>
  <c r="J181" i="7"/>
  <c r="K181" i="7" s="1"/>
  <c r="J182" i="7"/>
  <c r="K182" i="7" s="1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K204" i="7" s="1"/>
  <c r="J205" i="7"/>
  <c r="K205" i="7" s="1"/>
  <c r="J206" i="7"/>
  <c r="K206" i="7" s="1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K216" i="7" s="1"/>
  <c r="J217" i="7"/>
  <c r="K217" i="7" s="1"/>
  <c r="J218" i="7"/>
  <c r="K218" i="7" s="1"/>
  <c r="J219" i="7"/>
  <c r="K219" i="7" s="1"/>
  <c r="J220" i="7"/>
  <c r="K220" i="7" s="1"/>
  <c r="J221" i="7"/>
  <c r="K221" i="7" s="1"/>
  <c r="J222" i="7"/>
  <c r="K222" i="7" s="1"/>
  <c r="J223" i="7"/>
  <c r="K223" i="7" s="1"/>
  <c r="J224" i="7"/>
  <c r="K224" i="7" s="1"/>
  <c r="J225" i="7"/>
  <c r="K225" i="7" s="1"/>
  <c r="J226" i="7"/>
  <c r="K226" i="7" s="1"/>
  <c r="J227" i="7"/>
  <c r="K227" i="7" s="1"/>
  <c r="J228" i="7"/>
  <c r="K228" i="7" s="1"/>
  <c r="J229" i="7"/>
  <c r="K229" i="7" s="1"/>
  <c r="J230" i="7"/>
  <c r="K230" i="7" s="1"/>
  <c r="J231" i="7"/>
  <c r="K231" i="7" s="1"/>
  <c r="J232" i="7"/>
  <c r="K232" i="7" s="1"/>
  <c r="J233" i="7"/>
  <c r="K233" i="7" s="1"/>
  <c r="J234" i="7"/>
  <c r="K234" i="7" s="1"/>
  <c r="J235" i="7"/>
  <c r="K235" i="7" s="1"/>
  <c r="J236" i="7"/>
  <c r="K236" i="7" s="1"/>
  <c r="J237" i="7"/>
  <c r="K237" i="7" s="1"/>
  <c r="J238" i="7"/>
  <c r="K238" i="7" s="1"/>
  <c r="J239" i="7"/>
  <c r="K239" i="7" s="1"/>
  <c r="J240" i="7"/>
  <c r="K240" i="7" s="1"/>
  <c r="J241" i="7"/>
  <c r="K241" i="7" s="1"/>
  <c r="J242" i="7"/>
  <c r="K242" i="7" s="1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K248" i="7" s="1"/>
  <c r="J249" i="7"/>
  <c r="K249" i="7" s="1"/>
  <c r="J250" i="7"/>
  <c r="K250" i="7" s="1"/>
  <c r="J251" i="7"/>
  <c r="K251" i="7" s="1"/>
  <c r="J252" i="7"/>
  <c r="K252" i="7" s="1"/>
  <c r="J253" i="7"/>
  <c r="K253" i="7" s="1"/>
  <c r="J254" i="7"/>
  <c r="K254" i="7" s="1"/>
  <c r="J255" i="7"/>
  <c r="K255" i="7" s="1"/>
  <c r="J256" i="7"/>
  <c r="K256" i="7" s="1"/>
  <c r="J257" i="7"/>
  <c r="K257" i="7" s="1"/>
  <c r="J258" i="7"/>
  <c r="K258" i="7" s="1"/>
  <c r="J259" i="7"/>
  <c r="K259" i="7" s="1"/>
  <c r="J260" i="7"/>
  <c r="K260" i="7" s="1"/>
  <c r="J261" i="7"/>
  <c r="K261" i="7" s="1"/>
  <c r="J262" i="7"/>
  <c r="K262" i="7" s="1"/>
  <c r="J263" i="7"/>
  <c r="K263" i="7" s="1"/>
  <c r="J264" i="7"/>
  <c r="K264" i="7" s="1"/>
  <c r="J265" i="7"/>
  <c r="K265" i="7" s="1"/>
  <c r="J266" i="7"/>
  <c r="K266" i="7" s="1"/>
  <c r="J267" i="7"/>
  <c r="K267" i="7" s="1"/>
  <c r="J268" i="7"/>
  <c r="K268" i="7" s="1"/>
  <c r="J269" i="7"/>
  <c r="K269" i="7" s="1"/>
  <c r="J270" i="7"/>
  <c r="K270" i="7" s="1"/>
  <c r="J271" i="7"/>
  <c r="K271" i="7" s="1"/>
  <c r="J272" i="7"/>
  <c r="K272" i="7" s="1"/>
  <c r="J273" i="7"/>
  <c r="K273" i="7" s="1"/>
  <c r="J274" i="7"/>
  <c r="K274" i="7" s="1"/>
  <c r="J275" i="7"/>
  <c r="K275" i="7" s="1"/>
  <c r="J276" i="7"/>
  <c r="K276" i="7" s="1"/>
  <c r="J277" i="7"/>
  <c r="K277" i="7" s="1"/>
  <c r="J278" i="7"/>
  <c r="K278" i="7" s="1"/>
  <c r="J279" i="7"/>
  <c r="K279" i="7" s="1"/>
  <c r="J280" i="7"/>
  <c r="K280" i="7" s="1"/>
  <c r="J281" i="7"/>
  <c r="K281" i="7" s="1"/>
  <c r="J282" i="7"/>
  <c r="K282" i="7" s="1"/>
  <c r="J283" i="7"/>
  <c r="K283" i="7" s="1"/>
  <c r="J284" i="7"/>
  <c r="K284" i="7" s="1"/>
  <c r="J285" i="7"/>
  <c r="K285" i="7" s="1"/>
  <c r="J286" i="7"/>
  <c r="K286" i="7" s="1"/>
  <c r="J287" i="7"/>
  <c r="K287" i="7" s="1"/>
  <c r="J288" i="7"/>
  <c r="K288" i="7" s="1"/>
  <c r="J289" i="7"/>
  <c r="K289" i="7" s="1"/>
  <c r="J290" i="7"/>
  <c r="K290" i="7" s="1"/>
  <c r="J291" i="7"/>
  <c r="K291" i="7" s="1"/>
  <c r="J292" i="7"/>
  <c r="K292" i="7" s="1"/>
  <c r="J293" i="7"/>
  <c r="K293" i="7" s="1"/>
  <c r="J294" i="7"/>
  <c r="K294" i="7" s="1"/>
  <c r="J295" i="7"/>
  <c r="K295" i="7" s="1"/>
  <c r="J296" i="7"/>
  <c r="K296" i="7" s="1"/>
  <c r="J297" i="7"/>
  <c r="K297" i="7" s="1"/>
  <c r="J298" i="7"/>
  <c r="K298" i="7" s="1"/>
  <c r="J299" i="7"/>
  <c r="K299" i="7" s="1"/>
  <c r="J300" i="7"/>
  <c r="K300" i="7" s="1"/>
  <c r="J301" i="7"/>
  <c r="K301" i="7" s="1"/>
  <c r="J302" i="7"/>
  <c r="K302" i="7" s="1"/>
  <c r="J303" i="7"/>
  <c r="K303" i="7" s="1"/>
  <c r="J304" i="7"/>
  <c r="K304" i="7" s="1"/>
  <c r="J305" i="7"/>
  <c r="K305" i="7" s="1"/>
  <c r="J306" i="7"/>
  <c r="K306" i="7" s="1"/>
  <c r="J307" i="7"/>
  <c r="K307" i="7" s="1"/>
  <c r="J308" i="7"/>
  <c r="K308" i="7" s="1"/>
  <c r="J309" i="7"/>
  <c r="K309" i="7" s="1"/>
  <c r="J310" i="7"/>
  <c r="K310" i="7" s="1"/>
  <c r="J311" i="7"/>
  <c r="K311" i="7" s="1"/>
  <c r="J312" i="7"/>
  <c r="K312" i="7" s="1"/>
  <c r="J313" i="7"/>
  <c r="K313" i="7" s="1"/>
  <c r="J314" i="7"/>
  <c r="K314" i="7" s="1"/>
  <c r="J315" i="7"/>
  <c r="K315" i="7" s="1"/>
  <c r="J316" i="7"/>
  <c r="K316" i="7" s="1"/>
  <c r="J317" i="7"/>
  <c r="K317" i="7" s="1"/>
  <c r="J318" i="7"/>
  <c r="K318" i="7" s="1"/>
  <c r="J319" i="7"/>
  <c r="K319" i="7" s="1"/>
  <c r="J320" i="7"/>
  <c r="K320" i="7" s="1"/>
  <c r="J321" i="7"/>
  <c r="K321" i="7" s="1"/>
  <c r="J322" i="7"/>
  <c r="K322" i="7" s="1"/>
  <c r="J323" i="7"/>
  <c r="K323" i="7" s="1"/>
  <c r="J324" i="7"/>
  <c r="K324" i="7" s="1"/>
  <c r="J325" i="7"/>
  <c r="K325" i="7" s="1"/>
  <c r="J326" i="7"/>
  <c r="K326" i="7" s="1"/>
  <c r="J327" i="7"/>
  <c r="K327" i="7" s="1"/>
  <c r="J328" i="7"/>
  <c r="K328" i="7" s="1"/>
  <c r="J329" i="7"/>
  <c r="K329" i="7" s="1"/>
  <c r="J330" i="7"/>
  <c r="K330" i="7" s="1"/>
  <c r="J331" i="7"/>
  <c r="K331" i="7" s="1"/>
  <c r="J332" i="7"/>
  <c r="K332" i="7" s="1"/>
  <c r="J333" i="7"/>
  <c r="K333" i="7" s="1"/>
  <c r="J334" i="7"/>
  <c r="K334" i="7" s="1"/>
  <c r="J335" i="7"/>
  <c r="K335" i="7" s="1"/>
  <c r="J336" i="7"/>
  <c r="K336" i="7" s="1"/>
  <c r="J337" i="7"/>
  <c r="K337" i="7" s="1"/>
  <c r="J338" i="7"/>
  <c r="K338" i="7" s="1"/>
  <c r="J339" i="7"/>
  <c r="K339" i="7" s="1"/>
  <c r="J340" i="7"/>
  <c r="K340" i="7" s="1"/>
  <c r="J341" i="7"/>
  <c r="K341" i="7" s="1"/>
  <c r="J342" i="7"/>
  <c r="K342" i="7" s="1"/>
  <c r="J343" i="7"/>
  <c r="K343" i="7" s="1"/>
  <c r="J344" i="7"/>
  <c r="K344" i="7" s="1"/>
  <c r="J345" i="7"/>
  <c r="K345" i="7" s="1"/>
  <c r="J346" i="7"/>
  <c r="K346" i="7" s="1"/>
  <c r="J347" i="7"/>
  <c r="K347" i="7" s="1"/>
  <c r="J348" i="7"/>
  <c r="K348" i="7" s="1"/>
  <c r="J349" i="7"/>
  <c r="K349" i="7" s="1"/>
  <c r="J350" i="7"/>
  <c r="K350" i="7" s="1"/>
  <c r="J351" i="7"/>
  <c r="K351" i="7" s="1"/>
  <c r="J352" i="7"/>
  <c r="K352" i="7" s="1"/>
  <c r="J353" i="7"/>
  <c r="K353" i="7" s="1"/>
  <c r="J354" i="7"/>
  <c r="K354" i="7" s="1"/>
  <c r="J355" i="7"/>
  <c r="K355" i="7" s="1"/>
  <c r="J356" i="7"/>
  <c r="K356" i="7" s="1"/>
  <c r="J357" i="7"/>
  <c r="K357" i="7" s="1"/>
  <c r="J358" i="7"/>
  <c r="K358" i="7" s="1"/>
  <c r="J359" i="7"/>
  <c r="K359" i="7" s="1"/>
  <c r="J360" i="7"/>
  <c r="K360" i="7" s="1"/>
  <c r="J361" i="7"/>
  <c r="K361" i="7" s="1"/>
  <c r="J362" i="7"/>
  <c r="K362" i="7" s="1"/>
  <c r="J363" i="7"/>
  <c r="K363" i="7" s="1"/>
  <c r="J364" i="7"/>
  <c r="K364" i="7" s="1"/>
  <c r="J365" i="7"/>
  <c r="K365" i="7" s="1"/>
  <c r="J366" i="7"/>
  <c r="K366" i="7" s="1"/>
  <c r="J367" i="7"/>
  <c r="K367" i="7" s="1"/>
  <c r="J368" i="7"/>
  <c r="K368" i="7" s="1"/>
  <c r="J369" i="7"/>
  <c r="K369" i="7" s="1"/>
  <c r="J370" i="7"/>
  <c r="K370" i="7" s="1"/>
  <c r="J371" i="7"/>
  <c r="K371" i="7" s="1"/>
  <c r="J372" i="7"/>
  <c r="K372" i="7" s="1"/>
  <c r="J373" i="7"/>
  <c r="K373" i="7" s="1"/>
  <c r="J374" i="7"/>
  <c r="K374" i="7" s="1"/>
  <c r="J375" i="7"/>
  <c r="K375" i="7" s="1"/>
  <c r="J376" i="7"/>
  <c r="K376" i="7" s="1"/>
  <c r="J377" i="7"/>
  <c r="K377" i="7" s="1"/>
  <c r="J378" i="7"/>
  <c r="K378" i="7" s="1"/>
  <c r="J379" i="7"/>
  <c r="K379" i="7" s="1"/>
  <c r="J380" i="7"/>
  <c r="K380" i="7" s="1"/>
  <c r="J381" i="7"/>
  <c r="K381" i="7" s="1"/>
  <c r="J382" i="7"/>
  <c r="K382" i="7" s="1"/>
  <c r="J383" i="7"/>
  <c r="K383" i="7" s="1"/>
  <c r="J384" i="7"/>
  <c r="K384" i="7" s="1"/>
  <c r="J385" i="7"/>
  <c r="K385" i="7" s="1"/>
  <c r="J386" i="7"/>
  <c r="K386" i="7" s="1"/>
  <c r="J387" i="7"/>
  <c r="K387" i="7" s="1"/>
  <c r="J388" i="7"/>
  <c r="K388" i="7" s="1"/>
  <c r="J389" i="7"/>
  <c r="K389" i="7" s="1"/>
  <c r="J390" i="7"/>
  <c r="K390" i="7" s="1"/>
  <c r="J391" i="7"/>
  <c r="K391" i="7" s="1"/>
  <c r="J392" i="7"/>
  <c r="K392" i="7" s="1"/>
  <c r="J393" i="7"/>
  <c r="K393" i="7" s="1"/>
  <c r="J394" i="7"/>
  <c r="K394" i="7" s="1"/>
  <c r="J395" i="7"/>
  <c r="K395" i="7" s="1"/>
  <c r="J396" i="7"/>
  <c r="K396" i="7" s="1"/>
  <c r="J397" i="7"/>
  <c r="K397" i="7" s="1"/>
  <c r="J398" i="7"/>
  <c r="K398" i="7" s="1"/>
  <c r="J399" i="7"/>
  <c r="K399" i="7" s="1"/>
  <c r="J400" i="7"/>
  <c r="K400" i="7" s="1"/>
  <c r="J401" i="7"/>
  <c r="K401" i="7" s="1"/>
  <c r="J402" i="7"/>
  <c r="K402" i="7" s="1"/>
  <c r="J403" i="7"/>
  <c r="K403" i="7" s="1"/>
  <c r="J404" i="7"/>
  <c r="K404" i="7" s="1"/>
  <c r="J405" i="7"/>
  <c r="K405" i="7" s="1"/>
  <c r="J406" i="7"/>
  <c r="K406" i="7" s="1"/>
  <c r="J407" i="7"/>
  <c r="K407" i="7" s="1"/>
  <c r="J408" i="7"/>
  <c r="K408" i="7" s="1"/>
  <c r="J409" i="7"/>
  <c r="K409" i="7" s="1"/>
  <c r="J410" i="7"/>
  <c r="K410" i="7" s="1"/>
  <c r="J411" i="7"/>
  <c r="K411" i="7" s="1"/>
  <c r="J412" i="7"/>
  <c r="K412" i="7" s="1"/>
  <c r="J413" i="7"/>
  <c r="K413" i="7" s="1"/>
  <c r="J414" i="7"/>
  <c r="K414" i="7" s="1"/>
  <c r="J415" i="7"/>
  <c r="K415" i="7" s="1"/>
  <c r="J416" i="7"/>
  <c r="K416" i="7" s="1"/>
  <c r="J417" i="7"/>
  <c r="K417" i="7" s="1"/>
  <c r="J418" i="7"/>
  <c r="K418" i="7" s="1"/>
  <c r="J419" i="7"/>
  <c r="K419" i="7" s="1"/>
  <c r="J420" i="7"/>
  <c r="K420" i="7" s="1"/>
  <c r="J421" i="7"/>
  <c r="K421" i="7" s="1"/>
  <c r="J422" i="7"/>
  <c r="K422" i="7" s="1"/>
  <c r="J423" i="7"/>
  <c r="K423" i="7" s="1"/>
  <c r="J424" i="7"/>
  <c r="K424" i="7" s="1"/>
  <c r="J425" i="7"/>
  <c r="K425" i="7" s="1"/>
  <c r="J426" i="7"/>
  <c r="K426" i="7" s="1"/>
  <c r="J427" i="7"/>
  <c r="K427" i="7" s="1"/>
  <c r="J428" i="7"/>
  <c r="K428" i="7" s="1"/>
  <c r="J429" i="7"/>
  <c r="K429" i="7" s="1"/>
  <c r="J430" i="7"/>
  <c r="K430" i="7" s="1"/>
  <c r="J431" i="7"/>
  <c r="K431" i="7" s="1"/>
  <c r="J432" i="7"/>
  <c r="K432" i="7" s="1"/>
  <c r="J433" i="7"/>
  <c r="K433" i="7" s="1"/>
  <c r="J434" i="7"/>
  <c r="K434" i="7" s="1"/>
  <c r="J435" i="7"/>
  <c r="K435" i="7" s="1"/>
  <c r="J436" i="7"/>
  <c r="K436" i="7" s="1"/>
  <c r="J437" i="7"/>
  <c r="K437" i="7" s="1"/>
  <c r="J438" i="7"/>
  <c r="K438" i="7" s="1"/>
  <c r="J439" i="7"/>
  <c r="K439" i="7" s="1"/>
  <c r="J440" i="7"/>
  <c r="K440" i="7" s="1"/>
  <c r="J441" i="7"/>
  <c r="K441" i="7" s="1"/>
  <c r="J442" i="7"/>
  <c r="K442" i="7" s="1"/>
  <c r="J443" i="7"/>
  <c r="K443" i="7" s="1"/>
  <c r="J444" i="7"/>
  <c r="K444" i="7" s="1"/>
  <c r="J445" i="7"/>
  <c r="K445" i="7" s="1"/>
  <c r="J446" i="7"/>
  <c r="K446" i="7" s="1"/>
  <c r="J447" i="7"/>
  <c r="K447" i="7" s="1"/>
  <c r="J448" i="7"/>
  <c r="K448" i="7" s="1"/>
  <c r="J449" i="7"/>
  <c r="K449" i="7" s="1"/>
  <c r="J450" i="7"/>
  <c r="K450" i="7" s="1"/>
  <c r="J451" i="7"/>
  <c r="K451" i="7" s="1"/>
  <c r="J452" i="7"/>
  <c r="K452" i="7" s="1"/>
  <c r="J453" i="7"/>
  <c r="K453" i="7" s="1"/>
  <c r="J454" i="7"/>
  <c r="K454" i="7" s="1"/>
  <c r="J455" i="7"/>
  <c r="K455" i="7" s="1"/>
  <c r="J456" i="7"/>
  <c r="K456" i="7" s="1"/>
  <c r="J457" i="7"/>
  <c r="K457" i="7" s="1"/>
  <c r="J458" i="7"/>
  <c r="K458" i="7" s="1"/>
  <c r="J459" i="7"/>
  <c r="K459" i="7" s="1"/>
  <c r="J460" i="7"/>
  <c r="K460" i="7" s="1"/>
  <c r="J461" i="7"/>
  <c r="K461" i="7" s="1"/>
  <c r="J462" i="7"/>
  <c r="K462" i="7" s="1"/>
  <c r="J463" i="7"/>
  <c r="K463" i="7" s="1"/>
  <c r="J464" i="7"/>
  <c r="K464" i="7" s="1"/>
  <c r="J465" i="7"/>
  <c r="K465" i="7" s="1"/>
  <c r="J466" i="7"/>
  <c r="K466" i="7" s="1"/>
  <c r="J467" i="7"/>
  <c r="K467" i="7" s="1"/>
  <c r="J468" i="7"/>
  <c r="K468" i="7" s="1"/>
  <c r="J469" i="7"/>
  <c r="K469" i="7" s="1"/>
  <c r="J470" i="7"/>
  <c r="K470" i="7" s="1"/>
  <c r="J471" i="7"/>
  <c r="K471" i="7" s="1"/>
  <c r="J472" i="7"/>
  <c r="K472" i="7" s="1"/>
  <c r="J473" i="7"/>
  <c r="K473" i="7" s="1"/>
  <c r="J474" i="7"/>
  <c r="K474" i="7" s="1"/>
  <c r="J475" i="7"/>
  <c r="K475" i="7" s="1"/>
  <c r="J476" i="7"/>
  <c r="K476" i="7" s="1"/>
  <c r="J477" i="7"/>
  <c r="K477" i="7" s="1"/>
  <c r="J478" i="7"/>
  <c r="K478" i="7" s="1"/>
  <c r="J479" i="7"/>
  <c r="K479" i="7" s="1"/>
  <c r="J480" i="7"/>
  <c r="K480" i="7" s="1"/>
  <c r="J481" i="7"/>
  <c r="K481" i="7" s="1"/>
  <c r="J482" i="7"/>
  <c r="K482" i="7" s="1"/>
  <c r="J483" i="7"/>
  <c r="K483" i="7" s="1"/>
  <c r="J484" i="7"/>
  <c r="K484" i="7" s="1"/>
  <c r="J485" i="7"/>
  <c r="K485" i="7" s="1"/>
  <c r="J486" i="7"/>
  <c r="K486" i="7" s="1"/>
  <c r="J487" i="7"/>
  <c r="K487" i="7" s="1"/>
  <c r="J488" i="7"/>
  <c r="K488" i="7" s="1"/>
  <c r="J489" i="7"/>
  <c r="K489" i="7" s="1"/>
  <c r="J490" i="7"/>
  <c r="K490" i="7" s="1"/>
  <c r="J491" i="7"/>
  <c r="K491" i="7" s="1"/>
  <c r="J492" i="7"/>
  <c r="K492" i="7" s="1"/>
  <c r="J493" i="7"/>
  <c r="K493" i="7" s="1"/>
  <c r="J494" i="7"/>
  <c r="K494" i="7" s="1"/>
  <c r="J495" i="7"/>
  <c r="K495" i="7" s="1"/>
  <c r="J496" i="7"/>
  <c r="K496" i="7" s="1"/>
  <c r="J497" i="7"/>
  <c r="K497" i="7" s="1"/>
  <c r="J498" i="7"/>
  <c r="K498" i="7" s="1"/>
  <c r="J499" i="7"/>
  <c r="K499" i="7" s="1"/>
  <c r="J500" i="7"/>
  <c r="K500" i="7" s="1"/>
  <c r="J501" i="7"/>
  <c r="K501" i="7" s="1"/>
  <c r="J502" i="7"/>
  <c r="K502" i="7" s="1"/>
  <c r="J503" i="7"/>
  <c r="K503" i="7" s="1"/>
  <c r="J504" i="7"/>
  <c r="K504" i="7" s="1"/>
  <c r="J505" i="7"/>
  <c r="K505" i="7" s="1"/>
  <c r="J506" i="7"/>
  <c r="K506" i="7" s="1"/>
  <c r="J507" i="7"/>
  <c r="K507" i="7" s="1"/>
  <c r="J508" i="7"/>
  <c r="K508" i="7" s="1"/>
  <c r="J509" i="7"/>
  <c r="K509" i="7" s="1"/>
  <c r="J510" i="7"/>
  <c r="K510" i="7" s="1"/>
  <c r="J511" i="7"/>
  <c r="K511" i="7" s="1"/>
  <c r="J512" i="7"/>
  <c r="K512" i="7" s="1"/>
  <c r="J513" i="7"/>
  <c r="K513" i="7" s="1"/>
  <c r="J514" i="7"/>
  <c r="K514" i="7" s="1"/>
  <c r="J515" i="7"/>
  <c r="K515" i="7" s="1"/>
  <c r="J516" i="7"/>
  <c r="K516" i="7" s="1"/>
  <c r="J517" i="7"/>
  <c r="K517" i="7" s="1"/>
  <c r="J518" i="7"/>
  <c r="K518" i="7" s="1"/>
  <c r="J519" i="7"/>
  <c r="K519" i="7" s="1"/>
  <c r="J520" i="7"/>
  <c r="K520" i="7" s="1"/>
  <c r="J521" i="7"/>
  <c r="K521" i="7" s="1"/>
  <c r="J522" i="7"/>
  <c r="K522" i="7" s="1"/>
  <c r="J523" i="7"/>
  <c r="K523" i="7" s="1"/>
  <c r="J524" i="7"/>
  <c r="K524" i="7" s="1"/>
  <c r="J525" i="7"/>
  <c r="K525" i="7" s="1"/>
  <c r="J526" i="7"/>
  <c r="K526" i="7" s="1"/>
  <c r="J527" i="7"/>
  <c r="K527" i="7" s="1"/>
  <c r="J528" i="7"/>
  <c r="K528" i="7" s="1"/>
  <c r="J529" i="7"/>
  <c r="K529" i="7" s="1"/>
  <c r="J530" i="7"/>
  <c r="K530" i="7" s="1"/>
  <c r="J531" i="7"/>
  <c r="K531" i="7" s="1"/>
  <c r="J532" i="7"/>
  <c r="K532" i="7" s="1"/>
  <c r="J533" i="7"/>
  <c r="K533" i="7" s="1"/>
  <c r="J534" i="7"/>
  <c r="K534" i="7" s="1"/>
  <c r="J535" i="7"/>
  <c r="K535" i="7" s="1"/>
  <c r="J536" i="7"/>
  <c r="K536" i="7" s="1"/>
  <c r="J537" i="7"/>
  <c r="K537" i="7" s="1"/>
  <c r="J538" i="7"/>
  <c r="K538" i="7" s="1"/>
  <c r="J539" i="7"/>
  <c r="K539" i="7" s="1"/>
  <c r="J540" i="7"/>
  <c r="K540" i="7" s="1"/>
  <c r="J541" i="7"/>
  <c r="K541" i="7" s="1"/>
  <c r="J542" i="7"/>
  <c r="K542" i="7" s="1"/>
  <c r="J543" i="7"/>
  <c r="K543" i="7" s="1"/>
  <c r="J544" i="7"/>
  <c r="K544" i="7" s="1"/>
  <c r="J545" i="7"/>
  <c r="K545" i="7" s="1"/>
  <c r="J546" i="7"/>
  <c r="K546" i="7" s="1"/>
  <c r="J547" i="7"/>
  <c r="K547" i="7" s="1"/>
  <c r="J548" i="7"/>
  <c r="K548" i="7" s="1"/>
  <c r="J549" i="7"/>
  <c r="K549" i="7" s="1"/>
  <c r="J550" i="7"/>
  <c r="K550" i="7" s="1"/>
  <c r="J551" i="7"/>
  <c r="K551" i="7" s="1"/>
  <c r="J552" i="7"/>
  <c r="K552" i="7" s="1"/>
  <c r="J553" i="7"/>
  <c r="K553" i="7" s="1"/>
  <c r="J554" i="7"/>
  <c r="K554" i="7" s="1"/>
  <c r="J555" i="7"/>
  <c r="K555" i="7" s="1"/>
  <c r="J556" i="7"/>
  <c r="K556" i="7" s="1"/>
  <c r="J557" i="7"/>
  <c r="K557" i="7" s="1"/>
  <c r="J558" i="7"/>
  <c r="K558" i="7" s="1"/>
  <c r="J559" i="7"/>
  <c r="K559" i="7" s="1"/>
  <c r="J560" i="7"/>
  <c r="K560" i="7" s="1"/>
  <c r="J561" i="7"/>
  <c r="K561" i="7" s="1"/>
  <c r="J562" i="7"/>
  <c r="K562" i="7" s="1"/>
  <c r="J563" i="7"/>
  <c r="K563" i="7" s="1"/>
  <c r="J564" i="7"/>
  <c r="K564" i="7" s="1"/>
  <c r="J565" i="7"/>
  <c r="K565" i="7" s="1"/>
  <c r="J566" i="7"/>
  <c r="K566" i="7" s="1"/>
  <c r="J567" i="7"/>
  <c r="K567" i="7" s="1"/>
  <c r="J568" i="7"/>
  <c r="K568" i="7" s="1"/>
  <c r="J569" i="7"/>
  <c r="K569" i="7" s="1"/>
  <c r="J570" i="7"/>
  <c r="K570" i="7" s="1"/>
  <c r="J571" i="7"/>
  <c r="K571" i="7" s="1"/>
  <c r="J572" i="7"/>
  <c r="K572" i="7" s="1"/>
  <c r="J573" i="7"/>
  <c r="K573" i="7" s="1"/>
  <c r="J574" i="7"/>
  <c r="K574" i="7" s="1"/>
  <c r="J575" i="7"/>
  <c r="K575" i="7" s="1"/>
  <c r="J576" i="7"/>
  <c r="K576" i="7" s="1"/>
  <c r="J577" i="7"/>
  <c r="K577" i="7" s="1"/>
  <c r="J578" i="7"/>
  <c r="K578" i="7" s="1"/>
  <c r="J579" i="7"/>
  <c r="K579" i="7" s="1"/>
  <c r="J580" i="7"/>
  <c r="K580" i="7" s="1"/>
  <c r="J581" i="7"/>
  <c r="K581" i="7" s="1"/>
  <c r="J582" i="7"/>
  <c r="K582" i="7" s="1"/>
  <c r="J583" i="7"/>
  <c r="K583" i="7" s="1"/>
  <c r="J2" i="7"/>
  <c r="K2" i="7" s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2" i="8"/>
  <c r="K452" i="1"/>
  <c r="K529" i="1"/>
  <c r="K530" i="1"/>
  <c r="K531" i="1"/>
  <c r="K528" i="1"/>
  <c r="K498" i="1"/>
  <c r="K497" i="1"/>
  <c r="K496" i="1"/>
  <c r="K495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49" i="1"/>
  <c r="K450" i="1"/>
  <c r="K451" i="1"/>
  <c r="K453" i="1"/>
  <c r="K454" i="1"/>
  <c r="K455" i="1"/>
  <c r="K456" i="1"/>
  <c r="K448" i="1"/>
  <c r="K447" i="1"/>
  <c r="K446" i="1"/>
  <c r="K443" i="1"/>
  <c r="K444" i="1"/>
  <c r="K445" i="1"/>
  <c r="K442" i="1"/>
  <c r="K406" i="1"/>
  <c r="K407" i="1"/>
  <c r="K408" i="1"/>
  <c r="K405" i="1"/>
  <c r="K387" i="1"/>
  <c r="M345" i="1"/>
  <c r="O345" i="1"/>
  <c r="M344" i="1"/>
  <c r="O344" i="1"/>
  <c r="M343" i="1"/>
  <c r="O343" i="1"/>
  <c r="M342" i="1"/>
  <c r="O342" i="1"/>
  <c r="M341" i="1"/>
  <c r="O341" i="1"/>
  <c r="M340" i="1"/>
  <c r="O340" i="1"/>
  <c r="M339" i="1"/>
  <c r="O339" i="1"/>
  <c r="M338" i="1"/>
  <c r="O338" i="1"/>
  <c r="M337" i="1"/>
  <c r="O337" i="1"/>
  <c r="M336" i="1"/>
  <c r="O336" i="1"/>
  <c r="O334" i="1"/>
  <c r="M335" i="1"/>
  <c r="O335" i="1"/>
  <c r="M334" i="1"/>
  <c r="O327" i="1"/>
  <c r="O328" i="1"/>
  <c r="O329" i="1"/>
  <c r="O330" i="1"/>
  <c r="O331" i="1"/>
  <c r="O332" i="1"/>
  <c r="O333" i="1"/>
  <c r="O326" i="1"/>
  <c r="M327" i="1"/>
  <c r="K327" i="1" s="1"/>
  <c r="M328" i="1"/>
  <c r="K328" i="1" s="1"/>
  <c r="M329" i="1"/>
  <c r="K329" i="1" s="1"/>
  <c r="M330" i="1"/>
  <c r="K330" i="1" s="1"/>
  <c r="M331" i="1"/>
  <c r="K331" i="1" s="1"/>
  <c r="M332" i="1"/>
  <c r="K332" i="1" s="1"/>
  <c r="M333" i="1"/>
  <c r="K333" i="1" s="1"/>
  <c r="M326" i="1"/>
  <c r="K326" i="1" s="1"/>
  <c r="O321" i="1"/>
  <c r="O322" i="1"/>
  <c r="O323" i="1"/>
  <c r="O324" i="1"/>
  <c r="O320" i="1"/>
  <c r="M321" i="1"/>
  <c r="M322" i="1"/>
  <c r="M323" i="1"/>
  <c r="M324" i="1"/>
  <c r="M320" i="1"/>
  <c r="O215" i="1"/>
  <c r="M215" i="1"/>
  <c r="K167" i="1"/>
  <c r="K168" i="1"/>
  <c r="K166" i="1"/>
  <c r="H33" i="21" l="1"/>
  <c r="J18" i="21"/>
  <c r="H31" i="21"/>
  <c r="H25" i="21"/>
  <c r="J10" i="21"/>
  <c r="P11" i="21" s="1"/>
  <c r="H26" i="21"/>
  <c r="H34" i="21"/>
  <c r="H32" i="21"/>
  <c r="H24" i="21"/>
  <c r="H29" i="21"/>
  <c r="J16" i="21"/>
  <c r="P4" i="21" s="1"/>
  <c r="J8" i="21"/>
  <c r="P9" i="21" s="1"/>
  <c r="J13" i="21"/>
  <c r="P17" i="21" s="1"/>
  <c r="P7" i="21"/>
  <c r="J14" i="21"/>
  <c r="J6" i="21"/>
  <c r="J12" i="21"/>
  <c r="P12" i="21" s="1"/>
  <c r="J11" i="21"/>
  <c r="P15" i="21" s="1"/>
  <c r="J5" i="21"/>
  <c r="P5" i="21" s="1"/>
  <c r="J17" i="21"/>
  <c r="P10" i="21" s="1"/>
  <c r="J9" i="21"/>
  <c r="P14" i="21" s="1"/>
  <c r="K45" i="20"/>
  <c r="L44" i="20" s="1"/>
  <c r="I26" i="20"/>
  <c r="K26" i="20" s="1"/>
  <c r="J6" i="20"/>
  <c r="L9" i="8"/>
  <c r="L11" i="8" s="1"/>
  <c r="K323" i="1"/>
  <c r="K322" i="1"/>
  <c r="K321" i="1"/>
  <c r="K339" i="1"/>
  <c r="K345" i="1"/>
  <c r="K335" i="1"/>
  <c r="K336" i="1"/>
  <c r="K324" i="1"/>
  <c r="K342" i="1"/>
  <c r="K343" i="1"/>
  <c r="K337" i="1"/>
  <c r="K341" i="1"/>
  <c r="K344" i="1"/>
  <c r="K320" i="1"/>
  <c r="K340" i="1"/>
  <c r="K334" i="1"/>
  <c r="K338" i="1"/>
  <c r="P16" i="21" l="1"/>
  <c r="P8" i="21"/>
  <c r="L42" i="20"/>
  <c r="L43" i="20"/>
  <c r="J7" i="20"/>
  <c r="J8" i="20" l="1"/>
  <c r="J9" i="20" l="1"/>
  <c r="J10" i="20" l="1"/>
  <c r="J11" i="20" l="1"/>
  <c r="J12" i="20" l="1"/>
  <c r="J13" i="20" l="1"/>
  <c r="J14" i="20" l="1"/>
  <c r="J15" i="20" l="1"/>
  <c r="J16" i="20" l="1"/>
  <c r="J17" i="20" l="1"/>
  <c r="K16" i="20" s="1"/>
  <c r="K17" i="20" l="1"/>
  <c r="K5" i="20"/>
  <c r="K6" i="20"/>
  <c r="K7" i="20"/>
  <c r="K8" i="20"/>
  <c r="K9" i="20"/>
  <c r="K10" i="20"/>
  <c r="K11" i="20"/>
  <c r="K12" i="20"/>
  <c r="K13" i="20"/>
  <c r="K14" i="20"/>
  <c r="K15" i="20"/>
  <c r="J27" i="20"/>
  <c r="J28" i="20" s="1"/>
  <c r="J29" i="20" l="1"/>
  <c r="J30" i="20" l="1"/>
  <c r="J31" i="20" l="1"/>
  <c r="J32" i="20" l="1"/>
  <c r="J33" i="20" l="1"/>
  <c r="J34" i="20" l="1"/>
  <c r="J35" i="20" l="1"/>
  <c r="J36" i="20" l="1"/>
  <c r="J37" i="20" l="1"/>
  <c r="J38" i="20" l="1"/>
  <c r="J39" i="20" l="1"/>
  <c r="K38" i="20" s="1"/>
  <c r="K39" i="20" l="1"/>
  <c r="K27" i="20"/>
  <c r="K28" i="20"/>
  <c r="K29" i="20"/>
  <c r="K30" i="20"/>
  <c r="K31" i="20"/>
  <c r="K32" i="20"/>
  <c r="K33" i="20"/>
  <c r="K34" i="20"/>
  <c r="K35" i="20"/>
  <c r="K36" i="20"/>
  <c r="K37" i="20"/>
</calcChain>
</file>

<file path=xl/sharedStrings.xml><?xml version="1.0" encoding="utf-8"?>
<sst xmlns="http://schemas.openxmlformats.org/spreadsheetml/2006/main" count="4159" uniqueCount="1226">
  <si>
    <t>Serial No.</t>
  </si>
  <si>
    <t>Item Description</t>
  </si>
  <si>
    <t>Quantity</t>
  </si>
  <si>
    <t>M.R.P</t>
  </si>
  <si>
    <t>Batch</t>
  </si>
  <si>
    <t>Selling Price</t>
  </si>
  <si>
    <t>Cost Price</t>
  </si>
  <si>
    <t>Taxable Value</t>
  </si>
  <si>
    <t>Expiration Date</t>
  </si>
  <si>
    <t>Net Value</t>
  </si>
  <si>
    <t>Supplier</t>
  </si>
  <si>
    <t>Triluma Cream</t>
  </si>
  <si>
    <t>Dermadew Aloe Plus</t>
  </si>
  <si>
    <t>Epilyno Lotion</t>
  </si>
  <si>
    <t>Lulifin Cream</t>
  </si>
  <si>
    <t>Aziderm Plus Cream</t>
  </si>
  <si>
    <t>Aquahance Moisture</t>
  </si>
  <si>
    <t>Hhzole Cream</t>
  </si>
  <si>
    <t>Hhsone Cream</t>
  </si>
  <si>
    <t>Clonate Oint</t>
  </si>
  <si>
    <t>Oflox-200 Tab</t>
  </si>
  <si>
    <t>Ketafung CT Solution</t>
  </si>
  <si>
    <t>Strepsils Orange</t>
  </si>
  <si>
    <t>Hhcepo CV 325 Tabs</t>
  </si>
  <si>
    <t>B028</t>
  </si>
  <si>
    <t>5BD04</t>
  </si>
  <si>
    <t>REP25005</t>
  </si>
  <si>
    <t>MAP054</t>
  </si>
  <si>
    <t>SXG0407A</t>
  </si>
  <si>
    <t>B022</t>
  </si>
  <si>
    <t>C195</t>
  </si>
  <si>
    <t>HC161</t>
  </si>
  <si>
    <t>H352</t>
  </si>
  <si>
    <t>5SD0368</t>
  </si>
  <si>
    <t>E3516</t>
  </si>
  <si>
    <t>A1131</t>
  </si>
  <si>
    <t>CT-0918A</t>
  </si>
  <si>
    <t>Ram Agencies</t>
  </si>
  <si>
    <t>CGST %</t>
  </si>
  <si>
    <t>SGST%</t>
  </si>
  <si>
    <t>SGST Amount</t>
  </si>
  <si>
    <t>CGST Amount</t>
  </si>
  <si>
    <t>Clonate F Cream</t>
  </si>
  <si>
    <t>Bandy Plus Tab</t>
  </si>
  <si>
    <t>Sompraz D Tab</t>
  </si>
  <si>
    <t>Azithral 500mg Tab</t>
  </si>
  <si>
    <t>Cyra -D Tabs</t>
  </si>
  <si>
    <t>Tazloc Am Tabs</t>
  </si>
  <si>
    <t>Mesacol Od Tabs</t>
  </si>
  <si>
    <t>Propysalic NF6 Ointment</t>
  </si>
  <si>
    <t>Concor Cor 2.5 Tabs</t>
  </si>
  <si>
    <t>Clenz AC Topical Gel</t>
  </si>
  <si>
    <t>HH136</t>
  </si>
  <si>
    <t>A8AGY034</t>
  </si>
  <si>
    <t>A8AGY021</t>
  </si>
  <si>
    <t>GTG1840B</t>
  </si>
  <si>
    <t>3CD1030</t>
  </si>
  <si>
    <t>GKG1103A</t>
  </si>
  <si>
    <t>H1460</t>
  </si>
  <si>
    <t>M22AL25034</t>
  </si>
  <si>
    <t>ZNC0029</t>
  </si>
  <si>
    <t>Tedi Bar</t>
  </si>
  <si>
    <t>Seroflo-250 Inhaler</t>
  </si>
  <si>
    <t>RotaHaler</t>
  </si>
  <si>
    <t>Dermadew Soap</t>
  </si>
  <si>
    <t>Dermadew Baby Soap</t>
  </si>
  <si>
    <t>Levolin Inhaler</t>
  </si>
  <si>
    <t>SXG0341A</t>
  </si>
  <si>
    <t>TD250628</t>
  </si>
  <si>
    <t>B004</t>
  </si>
  <si>
    <t>5SN0613</t>
  </si>
  <si>
    <t>03J25025</t>
  </si>
  <si>
    <t>B364</t>
  </si>
  <si>
    <t>B296</t>
  </si>
  <si>
    <t>5SN1165</t>
  </si>
  <si>
    <t>Rega NP Serum</t>
  </si>
  <si>
    <t>ES Body Wash</t>
  </si>
  <si>
    <t>Gabapax NT 200MG Tab</t>
  </si>
  <si>
    <t>Cilvoryl MV 2 Tab</t>
  </si>
  <si>
    <t>Budamate 200 Transcaps</t>
  </si>
  <si>
    <t>Rablet 20MG Tab 15'S</t>
  </si>
  <si>
    <t xml:space="preserve">Minoz Gel </t>
  </si>
  <si>
    <t>Suncros Matt Finish Soft Gel</t>
  </si>
  <si>
    <t>Allgiduo SUS</t>
  </si>
  <si>
    <t>Tarich Lotion</t>
  </si>
  <si>
    <t>KCG530</t>
  </si>
  <si>
    <t>CJ142</t>
  </si>
  <si>
    <t>AL2411053</t>
  </si>
  <si>
    <t>AVC03AEA</t>
  </si>
  <si>
    <t>UB01421</t>
  </si>
  <si>
    <t>UB01129</t>
  </si>
  <si>
    <t>FHC0261</t>
  </si>
  <si>
    <t>SXG0714A</t>
  </si>
  <si>
    <t>BAMF0008</t>
  </si>
  <si>
    <t>L25L005</t>
  </si>
  <si>
    <t>RSM Pharma</t>
  </si>
  <si>
    <t>LA Shield Max Sunscreen Lotion</t>
  </si>
  <si>
    <t>Hydronic Lip Serum</t>
  </si>
  <si>
    <t>Orofer XT Lab</t>
  </si>
  <si>
    <t>Cilacar 5MG Tab</t>
  </si>
  <si>
    <t>Sitara 50MG Tab</t>
  </si>
  <si>
    <t>Calpsor C Oint</t>
  </si>
  <si>
    <t>Imol Plus Tab</t>
  </si>
  <si>
    <t>Deplatta A 150 Tab 15'S</t>
  </si>
  <si>
    <t>Aztor 10MG Tab 15'S</t>
  </si>
  <si>
    <t>Huminsulin (R) 40IU</t>
  </si>
  <si>
    <t>KCG508</t>
  </si>
  <si>
    <t>E16GL2501</t>
  </si>
  <si>
    <t>AC825009</t>
  </si>
  <si>
    <t>N2500800</t>
  </si>
  <si>
    <t>CS5004</t>
  </si>
  <si>
    <t>BRB1147</t>
  </si>
  <si>
    <t>2Z30M003</t>
  </si>
  <si>
    <t>GTG1579A</t>
  </si>
  <si>
    <t>A0010079</t>
  </si>
  <si>
    <t>O2541003</t>
  </si>
  <si>
    <t xml:space="preserve">Azee 500 Tabs </t>
  </si>
  <si>
    <t>Lacto Calamine (ALOE -55ml)</t>
  </si>
  <si>
    <t>Lacto Calamine (ALOE 115ml)</t>
  </si>
  <si>
    <t>BuscoGast Tab</t>
  </si>
  <si>
    <t>Sebum Clear N Gel</t>
  </si>
  <si>
    <t>Clincitop Gel</t>
  </si>
  <si>
    <t xml:space="preserve">Sebamed Baby Cream Extra </t>
  </si>
  <si>
    <t>Zocon-200 mg Tab©</t>
  </si>
  <si>
    <t>DAMF011</t>
  </si>
  <si>
    <t>5SN1300</t>
  </si>
  <si>
    <t>DMPF009</t>
  </si>
  <si>
    <t>BSA25021</t>
  </si>
  <si>
    <t>E25161S</t>
  </si>
  <si>
    <t>5A147A24</t>
  </si>
  <si>
    <t>075C043</t>
  </si>
  <si>
    <t>Mahaveer Medi Sales</t>
  </si>
  <si>
    <t>Hycort Cream</t>
  </si>
  <si>
    <t>HY20</t>
  </si>
  <si>
    <t xml:space="preserve">Avenues Pharma </t>
  </si>
  <si>
    <t>C-Facewash</t>
  </si>
  <si>
    <t xml:space="preserve">Cosmonova Medicare </t>
  </si>
  <si>
    <t xml:space="preserve">Minfin NX 5% </t>
  </si>
  <si>
    <t>Minfin MAXX 5%</t>
  </si>
  <si>
    <t>THMNX2502</t>
  </si>
  <si>
    <t>THMM-2505</t>
  </si>
  <si>
    <t>Medline Distributors</t>
  </si>
  <si>
    <t xml:space="preserve">Castor NF Cream </t>
  </si>
  <si>
    <t>Depiwhite eye gel</t>
  </si>
  <si>
    <t>Lacto Calamine Oily Skin</t>
  </si>
  <si>
    <t>Hairtamin Cap</t>
  </si>
  <si>
    <t>DLWH5153</t>
  </si>
  <si>
    <t>E25B01</t>
  </si>
  <si>
    <t>DACF057</t>
  </si>
  <si>
    <t>INC2598</t>
  </si>
  <si>
    <t>INC2563</t>
  </si>
  <si>
    <t>Momentsone Cream</t>
  </si>
  <si>
    <t>AH921</t>
  </si>
  <si>
    <t>Pantocid IT Caps</t>
  </si>
  <si>
    <t>Hhomega + Cap</t>
  </si>
  <si>
    <t>Stolin R Active Toothpaste</t>
  </si>
  <si>
    <t>Olmesar Ch 20MG Tab</t>
  </si>
  <si>
    <t>Darolac Syrup</t>
  </si>
  <si>
    <t>Aten D Tab</t>
  </si>
  <si>
    <t>SIG0703A</t>
  </si>
  <si>
    <t>SF25078</t>
  </si>
  <si>
    <t>STR25025</t>
  </si>
  <si>
    <t>18251018A</t>
  </si>
  <si>
    <t>SAB2508</t>
  </si>
  <si>
    <t>IA00636A</t>
  </si>
  <si>
    <t>Concovas 2.5MG Tab</t>
  </si>
  <si>
    <t>Asthalin R/Caps</t>
  </si>
  <si>
    <t>Dermadew Glow Cream</t>
  </si>
  <si>
    <t>Siloderm Mixi Cream</t>
  </si>
  <si>
    <t>Nilac Gel</t>
  </si>
  <si>
    <t>Rosuvas EZ 10MG</t>
  </si>
  <si>
    <t>Atorva 10MG Tab 15'S</t>
  </si>
  <si>
    <t>Limcee 500MG Tab</t>
  </si>
  <si>
    <t>Thyronorm 125MG Tab 120's</t>
  </si>
  <si>
    <t>AIW03AZA</t>
  </si>
  <si>
    <t>5SA0545</t>
  </si>
  <si>
    <t>B113</t>
  </si>
  <si>
    <t>SM5006</t>
  </si>
  <si>
    <t>NN029</t>
  </si>
  <si>
    <t>E16HG25008</t>
  </si>
  <si>
    <t>IA00542A</t>
  </si>
  <si>
    <t>PAJA5368</t>
  </si>
  <si>
    <t>TMJ25052</t>
  </si>
  <si>
    <t>Beplex Forte Tab</t>
  </si>
  <si>
    <t>Acceclowoc SP Tab</t>
  </si>
  <si>
    <t>AVD25129P</t>
  </si>
  <si>
    <t>E16GM25008</t>
  </si>
  <si>
    <t>PRT24079</t>
  </si>
  <si>
    <t>Lecmon-AX Tab</t>
  </si>
  <si>
    <t>Cuticlair Ceramide Cream</t>
  </si>
  <si>
    <t>Starpress XL 50MG Tab 15'S</t>
  </si>
  <si>
    <t>Nervijen P Cap's 15'S</t>
  </si>
  <si>
    <t>ST25154</t>
  </si>
  <si>
    <t>24H135</t>
  </si>
  <si>
    <t>UB00991</t>
  </si>
  <si>
    <t>NPC012512</t>
  </si>
  <si>
    <t>Olesoft Max Lotion</t>
  </si>
  <si>
    <t>Kera XL Hair Growth</t>
  </si>
  <si>
    <t>Lactihep Plus Syrup</t>
  </si>
  <si>
    <t>Mobizox Tab</t>
  </si>
  <si>
    <t>Eltroxin 100MG Tabs</t>
  </si>
  <si>
    <t>Eumosone Cream</t>
  </si>
  <si>
    <t>Bilatis 20MG Tabs</t>
  </si>
  <si>
    <t xml:space="preserve">Ibugesic Plus Syp </t>
  </si>
  <si>
    <t>Ecosprin AV 150/20 Caps</t>
  </si>
  <si>
    <t>OMT25029AP</t>
  </si>
  <si>
    <t>BNT2500552</t>
  </si>
  <si>
    <t>XLS-2503</t>
  </si>
  <si>
    <t>BNT2500787</t>
  </si>
  <si>
    <t>SXG1346A</t>
  </si>
  <si>
    <t>FHC0507</t>
  </si>
  <si>
    <t>K46P</t>
  </si>
  <si>
    <t>5HV01</t>
  </si>
  <si>
    <t>25S2GTB381</t>
  </si>
  <si>
    <t>Gentle Baby Wipes(72)</t>
  </si>
  <si>
    <t>ML25266</t>
  </si>
  <si>
    <t>APE25028</t>
  </si>
  <si>
    <t>Betadine Ointment 10%</t>
  </si>
  <si>
    <t>PJ02325</t>
  </si>
  <si>
    <t>Hhfexo 180 Tabs</t>
  </si>
  <si>
    <t>HFX25003</t>
  </si>
  <si>
    <t>Atogla Moiturizing</t>
  </si>
  <si>
    <t>AT2529</t>
  </si>
  <si>
    <t>Amlovas L Tab</t>
  </si>
  <si>
    <t>18250935A</t>
  </si>
  <si>
    <t>Lupidip 2.5MG Tab</t>
  </si>
  <si>
    <t>Hifenac MR Tab</t>
  </si>
  <si>
    <t>COF Q DX Tab</t>
  </si>
  <si>
    <t>M250814</t>
  </si>
  <si>
    <t>K2501768</t>
  </si>
  <si>
    <t>AMQ19AUA</t>
  </si>
  <si>
    <t>Okacet Tab ©</t>
  </si>
  <si>
    <t>Nicip Plus Tab</t>
  </si>
  <si>
    <t>Pantosec DSR Caps</t>
  </si>
  <si>
    <t>KZ Plus Medicated Soap</t>
  </si>
  <si>
    <t>5C10647</t>
  </si>
  <si>
    <t>5P10274</t>
  </si>
  <si>
    <t>PSR250204</t>
  </si>
  <si>
    <t>B037</t>
  </si>
  <si>
    <t>Dazit 10MG Tab</t>
  </si>
  <si>
    <t>GTG1398A</t>
  </si>
  <si>
    <t>Softovac 250GM</t>
  </si>
  <si>
    <t>Picon Cream 10gm</t>
  </si>
  <si>
    <t>Ketokem Soap 75gm</t>
  </si>
  <si>
    <t>Tyza M Cream</t>
  </si>
  <si>
    <t>Lodoz 5GM Tabs</t>
  </si>
  <si>
    <t>Levigress 500MG Tab 15'S</t>
  </si>
  <si>
    <t>Levolin 0.63 Respules</t>
  </si>
  <si>
    <t>Optineruon INJ</t>
  </si>
  <si>
    <t>EBAL 20</t>
  </si>
  <si>
    <t>A25191MU</t>
  </si>
  <si>
    <t>DJ053</t>
  </si>
  <si>
    <t>KKS25146ED</t>
  </si>
  <si>
    <t>UF003</t>
  </si>
  <si>
    <t>M22CH25002</t>
  </si>
  <si>
    <t>EGTC25043</t>
  </si>
  <si>
    <t>D2250082</t>
  </si>
  <si>
    <t>5L80397</t>
  </si>
  <si>
    <t>EBE29</t>
  </si>
  <si>
    <t>A25307VP</t>
  </si>
  <si>
    <t xml:space="preserve">Minopep Gold </t>
  </si>
  <si>
    <t>Sugaflo MV Tab</t>
  </si>
  <si>
    <t>Flawlizo Micro 0.04% Gel</t>
  </si>
  <si>
    <t>Flawlizo Micro 0.1% Gel</t>
  </si>
  <si>
    <t>Stator 20MG Tab</t>
  </si>
  <si>
    <t xml:space="preserve">Brilante Max Serum </t>
  </si>
  <si>
    <t>ORSL Apple Rehydrate Drink</t>
  </si>
  <si>
    <t>Tonoferon Paed Syrup</t>
  </si>
  <si>
    <t>Zincovit CL Syrup</t>
  </si>
  <si>
    <t>TLM-2509</t>
  </si>
  <si>
    <t>25S3GTA278</t>
  </si>
  <si>
    <t>5QC02</t>
  </si>
  <si>
    <t>SQD01</t>
  </si>
  <si>
    <t>STB25002</t>
  </si>
  <si>
    <t>5QC05</t>
  </si>
  <si>
    <t>KCG512</t>
  </si>
  <si>
    <t>SK50053</t>
  </si>
  <si>
    <t>TP5022</t>
  </si>
  <si>
    <t>ZCL25025</t>
  </si>
  <si>
    <t>Telmiduce CL Tab</t>
  </si>
  <si>
    <t>Amrfy Cream</t>
  </si>
  <si>
    <t>Repace H Tab</t>
  </si>
  <si>
    <t>Scarend Silicone Gel</t>
  </si>
  <si>
    <t>Ocurest AH  Eye Drops</t>
  </si>
  <si>
    <t>Nurokind Gold RF Caps</t>
  </si>
  <si>
    <t>Candid Cream</t>
  </si>
  <si>
    <t>Patchex Tab</t>
  </si>
  <si>
    <t>Renerve Plus Caps</t>
  </si>
  <si>
    <t>Vantej Aqua Mouthwash</t>
  </si>
  <si>
    <t>Pan D Capsules</t>
  </si>
  <si>
    <t>Zerodol SP Tabs</t>
  </si>
  <si>
    <t>18252426A</t>
  </si>
  <si>
    <t>H080</t>
  </si>
  <si>
    <t>SIG1013C</t>
  </si>
  <si>
    <t>B2DXY007</t>
  </si>
  <si>
    <t>DZOA023</t>
  </si>
  <si>
    <t>B12Y075</t>
  </si>
  <si>
    <t>657SPL2505F</t>
  </si>
  <si>
    <t>GRE625092</t>
  </si>
  <si>
    <t>ABAA103</t>
  </si>
  <si>
    <t>FND0725062BH</t>
  </si>
  <si>
    <t>Telmikind 20</t>
  </si>
  <si>
    <t>IO5Y007</t>
  </si>
  <si>
    <t>Imograf Ointment</t>
  </si>
  <si>
    <t>5337</t>
  </si>
  <si>
    <t>Ebruma Cream</t>
  </si>
  <si>
    <t>Clavam 625 MG</t>
  </si>
  <si>
    <t>Trinicalm Plus Tab</t>
  </si>
  <si>
    <t xml:space="preserve">Trivolib 1MG Tab </t>
  </si>
  <si>
    <t>Ascoril LS SYP</t>
  </si>
  <si>
    <t>AH913</t>
  </si>
  <si>
    <t>2F79M005</t>
  </si>
  <si>
    <t>ZFC0089</t>
  </si>
  <si>
    <t>05250729A</t>
  </si>
  <si>
    <t>Sensodent K (150ML)</t>
  </si>
  <si>
    <t>25BM0001</t>
  </si>
  <si>
    <t>No Scars Cream 20GM</t>
  </si>
  <si>
    <t>Cheston Cold Total Tab</t>
  </si>
  <si>
    <t>B2952019</t>
  </si>
  <si>
    <t>M250341</t>
  </si>
  <si>
    <t>5QD01</t>
  </si>
  <si>
    <t>Mindruff Scalp Solution</t>
  </si>
  <si>
    <t>Lulikite Cream</t>
  </si>
  <si>
    <t>YBM-2501</t>
  </si>
  <si>
    <t>AH928</t>
  </si>
  <si>
    <t>Glykind 60 XR Tab</t>
  </si>
  <si>
    <t>Olmezest AM 40MG Tabs</t>
  </si>
  <si>
    <t>Tazloc Beta 25MG Tabs</t>
  </si>
  <si>
    <t>Pilex Tabs</t>
  </si>
  <si>
    <t>Reclide 40 Tablets</t>
  </si>
  <si>
    <t>Mox 250MG Redimix 60ML</t>
  </si>
  <si>
    <t>Telemikind-H 80 Tabs</t>
  </si>
  <si>
    <t>Naprosyn+250MG 15S</t>
  </si>
  <si>
    <t>Glycomet GP 1 Tabs</t>
  </si>
  <si>
    <t>Nurokind LC Tabs</t>
  </si>
  <si>
    <t>Tenepride 20 Tabs</t>
  </si>
  <si>
    <t>Shelcal 500 Tabs</t>
  </si>
  <si>
    <t>Duphalac Syrup</t>
  </si>
  <si>
    <t>E5GKY005</t>
  </si>
  <si>
    <t>SIG1122A</t>
  </si>
  <si>
    <t>TBF14</t>
  </si>
  <si>
    <t>E2501244</t>
  </si>
  <si>
    <t>DFG4574A</t>
  </si>
  <si>
    <t>B25Y008</t>
  </si>
  <si>
    <t>24N25011</t>
  </si>
  <si>
    <t>B95Y072</t>
  </si>
  <si>
    <t>TNAS0134</t>
  </si>
  <si>
    <t>8LV2M237</t>
  </si>
  <si>
    <t>793178D7</t>
  </si>
  <si>
    <t>Beatdine 0.2%</t>
  </si>
  <si>
    <t>GF01825</t>
  </si>
  <si>
    <t>Lacryl Hydrate Eye Drops</t>
  </si>
  <si>
    <t>25DB18</t>
  </si>
  <si>
    <t>Lulipex Cream</t>
  </si>
  <si>
    <t>Beatdine Gargle 2% Mint</t>
  </si>
  <si>
    <t>Cardace 5mg Tab</t>
  </si>
  <si>
    <t>Kailas Jeevan Cream</t>
  </si>
  <si>
    <t>Dermadew PMX Anti itch Lotion</t>
  </si>
  <si>
    <t>Rozat 5MG Tab</t>
  </si>
  <si>
    <t>Sunscreen</t>
  </si>
  <si>
    <t>Immunosuppressant</t>
  </si>
  <si>
    <t>Skincare</t>
  </si>
  <si>
    <t>Respiratory</t>
  </si>
  <si>
    <t>Baby Care</t>
  </si>
  <si>
    <t>Diabetes</t>
  </si>
  <si>
    <t>Pain Relief</t>
  </si>
  <si>
    <t>Cold/Cough</t>
  </si>
  <si>
    <t>Cardiovascular</t>
  </si>
  <si>
    <t>Vitamins/Minerals</t>
  </si>
  <si>
    <t>First Aid</t>
  </si>
  <si>
    <t>LPC2503</t>
  </si>
  <si>
    <t>GD020250</t>
  </si>
  <si>
    <t>4NG023</t>
  </si>
  <si>
    <t>5SN0611</t>
  </si>
  <si>
    <t>B011</t>
  </si>
  <si>
    <t>H029</t>
  </si>
  <si>
    <t>E2501268</t>
  </si>
  <si>
    <t>DJ065</t>
  </si>
  <si>
    <t>Propysalic Plus 3% Lotion</t>
  </si>
  <si>
    <t xml:space="preserve">Syndopa Plus 15 </t>
  </si>
  <si>
    <t>Bilashine 40MG Tab</t>
  </si>
  <si>
    <t>Betadine 10% Solution</t>
  </si>
  <si>
    <t>Gelusil MPS Liquid 400 ML</t>
  </si>
  <si>
    <t>Rexidin SRS Mouth Wash</t>
  </si>
  <si>
    <t>Dersol 3% Ointment</t>
  </si>
  <si>
    <t>GKG1264A</t>
  </si>
  <si>
    <t>AXC0054</t>
  </si>
  <si>
    <t>MH01825</t>
  </si>
  <si>
    <t>2919550E</t>
  </si>
  <si>
    <t>E3139</t>
  </si>
  <si>
    <t xml:space="preserve">Category </t>
  </si>
  <si>
    <t>Alista MP 500 Tablets</t>
  </si>
  <si>
    <t>Mintop Alcohol Free 5% Solution</t>
  </si>
  <si>
    <t>Luliford Cream 30gm</t>
  </si>
  <si>
    <t>Istamet 50MG/500MG Tab</t>
  </si>
  <si>
    <t>Ivoral Forte Tab©</t>
  </si>
  <si>
    <t>Sompraz 40MG Tab</t>
  </si>
  <si>
    <t>Ulgel Elaichi Susp</t>
  </si>
  <si>
    <t>Thickify Ampm Tab</t>
  </si>
  <si>
    <t>Freelac Oral Solution 100M</t>
  </si>
  <si>
    <t>DRAA25006</t>
  </si>
  <si>
    <t>DLUW5030</t>
  </si>
  <si>
    <t>CMR250618</t>
  </si>
  <si>
    <t>DLUW5009</t>
  </si>
  <si>
    <t>SIG0966A</t>
  </si>
  <si>
    <t>AIF0225</t>
  </si>
  <si>
    <t>GTG2076A</t>
  </si>
  <si>
    <t>APR25AB04</t>
  </si>
  <si>
    <t>CFLH2009</t>
  </si>
  <si>
    <t>Glycomet Trio 1MG Tab</t>
  </si>
  <si>
    <t>Luliford Cream 20gm</t>
  </si>
  <si>
    <t>Lantus Catridge</t>
  </si>
  <si>
    <t>4F425A</t>
  </si>
  <si>
    <t>Sri Parshva Distributors</t>
  </si>
  <si>
    <t xml:space="preserve">Minichek Solution </t>
  </si>
  <si>
    <t>Petril MD 0.25mg Tab</t>
  </si>
  <si>
    <t xml:space="preserve">Gluconorm SR Tab </t>
  </si>
  <si>
    <t>Reclide 80MG Tab</t>
  </si>
  <si>
    <t>Oilatum Kids Bar</t>
  </si>
  <si>
    <t>Gabaneuron NT 100MG Tab</t>
  </si>
  <si>
    <t>Volini Gel 100gm</t>
  </si>
  <si>
    <t>Sizopin 25MG Tab</t>
  </si>
  <si>
    <t xml:space="preserve">Rosuvas F 10MG </t>
  </si>
  <si>
    <t xml:space="preserve">Amrith Noni Artho Plus Liquid </t>
  </si>
  <si>
    <t>AUL0023</t>
  </si>
  <si>
    <t>PEBS0165</t>
  </si>
  <si>
    <t>UB01077</t>
  </si>
  <si>
    <t>E2501245</t>
  </si>
  <si>
    <t>BSP1903</t>
  </si>
  <si>
    <t>2512320AR</t>
  </si>
  <si>
    <t>SXG1392B</t>
  </si>
  <si>
    <t>SIG1150A</t>
  </si>
  <si>
    <t>SIG1740A</t>
  </si>
  <si>
    <t>ANAP2504</t>
  </si>
  <si>
    <t>Imojac Ointment</t>
  </si>
  <si>
    <t>DFA02ABA</t>
  </si>
  <si>
    <t>5S Pharma Distributions</t>
  </si>
  <si>
    <t>Sensoform Paint 20ML</t>
  </si>
  <si>
    <t>Zimvir 500MG Tab</t>
  </si>
  <si>
    <t>Zimvir 1000MG Tab</t>
  </si>
  <si>
    <t>Mascart CL</t>
  </si>
  <si>
    <t>Kerabright Keratin Shampoo</t>
  </si>
  <si>
    <t>Premarin 0.625MG Tab</t>
  </si>
  <si>
    <t>Ascoril+ Expt 120ML</t>
  </si>
  <si>
    <t>Megaheal Gel 50GM</t>
  </si>
  <si>
    <t>Amlong 2.5MG Tab</t>
  </si>
  <si>
    <t>SC5009</t>
  </si>
  <si>
    <t>Siloderm Cream</t>
  </si>
  <si>
    <t>D 500 Cal Tab</t>
  </si>
  <si>
    <t>Navison Classic Spray</t>
  </si>
  <si>
    <t>ZMR240401</t>
  </si>
  <si>
    <t>ZVR240401</t>
  </si>
  <si>
    <t>18252426B</t>
  </si>
  <si>
    <t>24F132</t>
  </si>
  <si>
    <t>MY2484</t>
  </si>
  <si>
    <t>AVV2536</t>
  </si>
  <si>
    <t>AMAS0250</t>
  </si>
  <si>
    <t>REP25004</t>
  </si>
  <si>
    <t>ADCL24004</t>
  </si>
  <si>
    <t>4352C84201</t>
  </si>
  <si>
    <t xml:space="preserve">Mucaine Gel Mint </t>
  </si>
  <si>
    <t>Atogla Lotion</t>
  </si>
  <si>
    <t>MX-F 5% Topical Solution</t>
  </si>
  <si>
    <t>Moisturex Hydra Gel</t>
  </si>
  <si>
    <t>Meganeuron OD Plus</t>
  </si>
  <si>
    <t>Macsart CL Tab</t>
  </si>
  <si>
    <t>Envas 10MG Tab</t>
  </si>
  <si>
    <t>Stolin Gum Astringent</t>
  </si>
  <si>
    <t>02 New Suspension</t>
  </si>
  <si>
    <t>Seloken XL 25MG Tab</t>
  </si>
  <si>
    <t>Shelcal HD Tab</t>
  </si>
  <si>
    <t>Ascoril SF Syrup</t>
  </si>
  <si>
    <t>2520521E</t>
  </si>
  <si>
    <t>AL2539</t>
  </si>
  <si>
    <t>THX-2505</t>
  </si>
  <si>
    <t>SGC0135</t>
  </si>
  <si>
    <t>SPG250920</t>
  </si>
  <si>
    <t>HC162</t>
  </si>
  <si>
    <t>JKBS25001</t>
  </si>
  <si>
    <t>BSG25008</t>
  </si>
  <si>
    <t>E50761</t>
  </si>
  <si>
    <t>ST2502</t>
  </si>
  <si>
    <t>2MB5M069</t>
  </si>
  <si>
    <t>05250870A</t>
  </si>
  <si>
    <t>P-500 Suspension</t>
  </si>
  <si>
    <t>Thhronorm-50</t>
  </si>
  <si>
    <t>Hum-Actrapid</t>
  </si>
  <si>
    <t>PFS25042</t>
  </si>
  <si>
    <t>TMD25275</t>
  </si>
  <si>
    <t>Glynium VT Inhaler</t>
  </si>
  <si>
    <t>Coaltar S Lotion</t>
  </si>
  <si>
    <t>Roseday 10MG Tab</t>
  </si>
  <si>
    <t>Canesten Cream 30GM</t>
  </si>
  <si>
    <t>Omnix 100 Dry Syrup</t>
  </si>
  <si>
    <t>B_70914</t>
  </si>
  <si>
    <t>I402812</t>
  </si>
  <si>
    <t>B534</t>
  </si>
  <si>
    <t>5JX12A</t>
  </si>
  <si>
    <t>SEA0173</t>
  </si>
  <si>
    <t>Lumispark Cream 20G</t>
  </si>
  <si>
    <t>BLS2506</t>
  </si>
  <si>
    <t>Sri Vignesh Pharma</t>
  </si>
  <si>
    <t>Torvate 500MG Tab</t>
  </si>
  <si>
    <t>Triclear N Gel 20GM</t>
  </si>
  <si>
    <t>Carmax Cap</t>
  </si>
  <si>
    <t>Lifanta Eye Drops</t>
  </si>
  <si>
    <t>Aquasoft FC Cream</t>
  </si>
  <si>
    <t>Zincovit Syrup</t>
  </si>
  <si>
    <t>Metrogyl 200MG Tab</t>
  </si>
  <si>
    <t>Xymoheald D Tab</t>
  </si>
  <si>
    <t>Onabet Cream 15GM</t>
  </si>
  <si>
    <t>Glyciphage G1</t>
  </si>
  <si>
    <t>O665M010</t>
  </si>
  <si>
    <t>NA25004</t>
  </si>
  <si>
    <t>SDR-25019</t>
  </si>
  <si>
    <t>AD0035G</t>
  </si>
  <si>
    <t>G3649</t>
  </si>
  <si>
    <t>ZVS25089</t>
  </si>
  <si>
    <t>BM225014</t>
  </si>
  <si>
    <t>OB5004</t>
  </si>
  <si>
    <t>IA275009</t>
  </si>
  <si>
    <t>Meladuce Face Serum</t>
  </si>
  <si>
    <t>LC-363</t>
  </si>
  <si>
    <t>Atorva Gold 10MG Cap</t>
  </si>
  <si>
    <t>Thrombphob Ointment</t>
  </si>
  <si>
    <t>Becadexamin Caps</t>
  </si>
  <si>
    <t>Cosglo New Cream</t>
  </si>
  <si>
    <t>8X Shampoo</t>
  </si>
  <si>
    <t>Tedibar Ceramax [75GM]</t>
  </si>
  <si>
    <t>Omnitah H</t>
  </si>
  <si>
    <t>Acitrom 3MG Tab</t>
  </si>
  <si>
    <t>Unwanted 72</t>
  </si>
  <si>
    <t>Gluformin G2 Tabs</t>
  </si>
  <si>
    <t>Asthalin 4MG Tabs</t>
  </si>
  <si>
    <t>25S2GCA451</t>
  </si>
  <si>
    <t>I501416</t>
  </si>
  <si>
    <t>BH690</t>
  </si>
  <si>
    <t>CS5006</t>
  </si>
  <si>
    <t>L25M6051</t>
  </si>
  <si>
    <t>SCTD25010</t>
  </si>
  <si>
    <t>18251176A</t>
  </si>
  <si>
    <t>K46S</t>
  </si>
  <si>
    <t>ACC25005</t>
  </si>
  <si>
    <t>5AALY029</t>
  </si>
  <si>
    <t>AJL0076</t>
  </si>
  <si>
    <t>5SA1266</t>
  </si>
  <si>
    <t>Unwanted 21 Days</t>
  </si>
  <si>
    <t>Telma 40MG Tab</t>
  </si>
  <si>
    <t>Amlopin 5MG Tablets</t>
  </si>
  <si>
    <t>Ketorol DT Tablets</t>
  </si>
  <si>
    <t>Telmikind AM Tab</t>
  </si>
  <si>
    <t>N3ALY053</t>
  </si>
  <si>
    <t>E2501474</t>
  </si>
  <si>
    <t>C65Y048</t>
  </si>
  <si>
    <t>ZVS25112</t>
  </si>
  <si>
    <t>Melalumin Under Eye Serum</t>
  </si>
  <si>
    <t>Photon Sunscreen</t>
  </si>
  <si>
    <t>AY5002</t>
  </si>
  <si>
    <t>O2541002</t>
  </si>
  <si>
    <t>ATC2502</t>
  </si>
  <si>
    <t>Cuticlair Revive Face Serum</t>
  </si>
  <si>
    <t>Nanofast Gel</t>
  </si>
  <si>
    <t>Renu MP 120ML Solution</t>
  </si>
  <si>
    <t>Imxia F 5% Solution</t>
  </si>
  <si>
    <t>Eltroxin 25MCG Tab</t>
  </si>
  <si>
    <t>Momate Cream 20GMS</t>
  </si>
  <si>
    <t>C251454</t>
  </si>
  <si>
    <t>NN25015</t>
  </si>
  <si>
    <t>GB25024</t>
  </si>
  <si>
    <t>1KT-2514</t>
  </si>
  <si>
    <t>H37P</t>
  </si>
  <si>
    <t>Optineuron INJ</t>
  </si>
  <si>
    <t>Translol XL-50 Tab</t>
  </si>
  <si>
    <t>Sino D3 Cap(60K)</t>
  </si>
  <si>
    <t>Ethiglo Serum</t>
  </si>
  <si>
    <t>T022503E</t>
  </si>
  <si>
    <t>DGHC1086</t>
  </si>
  <si>
    <t>BA0391</t>
  </si>
  <si>
    <t>Clocip B Cream</t>
  </si>
  <si>
    <t>Glucreta M 10+500MG Tab</t>
  </si>
  <si>
    <t>Hadensa Oint</t>
  </si>
  <si>
    <t>Thyronorm 75MCG</t>
  </si>
  <si>
    <t>Alkof DX Cough SYP</t>
  </si>
  <si>
    <t>EASI Breathe Caps</t>
  </si>
  <si>
    <t>EK23</t>
  </si>
  <si>
    <t>2PX1M010</t>
  </si>
  <si>
    <t>TMF25149</t>
  </si>
  <si>
    <t>CPL24650</t>
  </si>
  <si>
    <t>Eltroxin 50 MCG Tab</t>
  </si>
  <si>
    <t>J25G</t>
  </si>
  <si>
    <t>Disokem Lotion</t>
  </si>
  <si>
    <t>Fairvit Soap</t>
  </si>
  <si>
    <t>Minoking-50 DT</t>
  </si>
  <si>
    <t>UT-1490</t>
  </si>
  <si>
    <t>JMJ Pharma</t>
  </si>
  <si>
    <t>Tacroz Forte Oint</t>
  </si>
  <si>
    <t>MOX 250 Caps</t>
  </si>
  <si>
    <t>Zedex 100ml Syrup</t>
  </si>
  <si>
    <t>Nexpro RD 40MG Caps</t>
  </si>
  <si>
    <t>DFG4787A</t>
  </si>
  <si>
    <t>D250389</t>
  </si>
  <si>
    <t>RF1325028</t>
  </si>
  <si>
    <t>Tulsi Corporation</t>
  </si>
  <si>
    <t>Glutaclair Tablet</t>
  </si>
  <si>
    <t>T2503B25</t>
  </si>
  <si>
    <t xml:space="preserve">Pride Pharma </t>
  </si>
  <si>
    <t>Amorolkite Cream</t>
  </si>
  <si>
    <t>Cuticlair Anti Acne Face Serum</t>
  </si>
  <si>
    <t xml:space="preserve">Lulifight </t>
  </si>
  <si>
    <t>Pepgain Advance Tablet</t>
  </si>
  <si>
    <t>Sunshield Sunscreen SPF</t>
  </si>
  <si>
    <t>AH920</t>
  </si>
  <si>
    <t>AMX214</t>
  </si>
  <si>
    <t>24-006</t>
  </si>
  <si>
    <t>AHL-302</t>
  </si>
  <si>
    <t>M25TN045</t>
  </si>
  <si>
    <t>24A169</t>
  </si>
  <si>
    <t>Cuticlair Advance Foaming F/W</t>
  </si>
  <si>
    <t>C25411</t>
  </si>
  <si>
    <t>Pepgain MF Forte Solution</t>
  </si>
  <si>
    <t>AHS-587</t>
  </si>
  <si>
    <t>Cuticlair Body Acne Spray</t>
  </si>
  <si>
    <t>Momentsone F Cream</t>
  </si>
  <si>
    <t>Pepgain Eva Tablet</t>
  </si>
  <si>
    <t>C241463</t>
  </si>
  <si>
    <t>168F25</t>
  </si>
  <si>
    <t>AH935</t>
  </si>
  <si>
    <t>JT-25145</t>
  </si>
  <si>
    <t>C251499</t>
  </si>
  <si>
    <t>Ketobright Shampoo</t>
  </si>
  <si>
    <t>C251502</t>
  </si>
  <si>
    <t>Neuroprime Plus Capsules</t>
  </si>
  <si>
    <t>Allsuth Lotion</t>
  </si>
  <si>
    <t>Cilnipres T Tab</t>
  </si>
  <si>
    <t>Empaone 25MG Tab</t>
  </si>
  <si>
    <t>Rosmi 10MG Tab</t>
  </si>
  <si>
    <t>Tolaz DT 5MG Tab</t>
  </si>
  <si>
    <t>C-PRO Cream 30GM</t>
  </si>
  <si>
    <t>S25G172</t>
  </si>
  <si>
    <t>E-020325</t>
  </si>
  <si>
    <t>T12573</t>
  </si>
  <si>
    <t>BRF06085A</t>
  </si>
  <si>
    <t>2EB3M001</t>
  </si>
  <si>
    <t>JKFUB24022</t>
  </si>
  <si>
    <t>FCP5001</t>
  </si>
  <si>
    <t>Siotone Cap</t>
  </si>
  <si>
    <t>4U-Q10 Plus Cap</t>
  </si>
  <si>
    <t>Suprafung Cream 50GM</t>
  </si>
  <si>
    <t>Dapanorm Trio Forte Tab</t>
  </si>
  <si>
    <t>5CSC-004</t>
  </si>
  <si>
    <t>SDR-25007</t>
  </si>
  <si>
    <t>SDR-25011</t>
  </si>
  <si>
    <t>F07B</t>
  </si>
  <si>
    <t>Ciplox D Eye Drops</t>
  </si>
  <si>
    <t>Lubrex Eye Drops</t>
  </si>
  <si>
    <t>Allegra 180MG Tab</t>
  </si>
  <si>
    <t>Jointace Tab</t>
  </si>
  <si>
    <t xml:space="preserve">Hansaplast WaterProof </t>
  </si>
  <si>
    <t>Claribid 250MG Tab</t>
  </si>
  <si>
    <t>5L80358</t>
  </si>
  <si>
    <t>LUAS0582</t>
  </si>
  <si>
    <t>5NG017</t>
  </si>
  <si>
    <t>355U2506</t>
  </si>
  <si>
    <t>52812011MP</t>
  </si>
  <si>
    <t>MBL0055</t>
  </si>
  <si>
    <t>B360</t>
  </si>
  <si>
    <t xml:space="preserve">Ulgeraft Syrup </t>
  </si>
  <si>
    <t>Olesoft Lite Moisturize</t>
  </si>
  <si>
    <t>Acnemoist Cream</t>
  </si>
  <si>
    <t>Suncros Neo Gel</t>
  </si>
  <si>
    <t>Stalix D 10+ 100MG Tabs</t>
  </si>
  <si>
    <t>Aciloc 150 Tab</t>
  </si>
  <si>
    <t>Bimat LS Eye Drops</t>
  </si>
  <si>
    <t>Orvas 10MG Tabs</t>
  </si>
  <si>
    <t>Nucoxia 90 Tab</t>
  </si>
  <si>
    <t>GH5216001</t>
  </si>
  <si>
    <t>C25F022</t>
  </si>
  <si>
    <t>AM2515</t>
  </si>
  <si>
    <t>SGC0104</t>
  </si>
  <si>
    <t>EMV251183E</t>
  </si>
  <si>
    <t>B014</t>
  </si>
  <si>
    <t>LD25225</t>
  </si>
  <si>
    <t>AD0105E</t>
  </si>
  <si>
    <t>VAA2564</t>
  </si>
  <si>
    <t>HOR120625</t>
  </si>
  <si>
    <t>355U2507</t>
  </si>
  <si>
    <t>IA00790A</t>
  </si>
  <si>
    <t>Suncros Soft Gel</t>
  </si>
  <si>
    <t>Tripide 2MG Tab</t>
  </si>
  <si>
    <t>Tenefit M Tab</t>
  </si>
  <si>
    <t>Glycomet 500 SR Tabs</t>
  </si>
  <si>
    <t>Clohex 150 ML</t>
  </si>
  <si>
    <t>Concor 5 Tabs</t>
  </si>
  <si>
    <t>Melaglow New Cream</t>
  </si>
  <si>
    <t>SXG2001A</t>
  </si>
  <si>
    <t>TPKS0009</t>
  </si>
  <si>
    <t>PC250008</t>
  </si>
  <si>
    <t>BCX25048</t>
  </si>
  <si>
    <t>M22AM25051</t>
  </si>
  <si>
    <t>AVL0092</t>
  </si>
  <si>
    <t>60002117</t>
  </si>
  <si>
    <t>Pynomax TX Face Serum</t>
  </si>
  <si>
    <t>GALC25020</t>
  </si>
  <si>
    <t>Nezaflo Nasal Spray</t>
  </si>
  <si>
    <t>Keto B Cream</t>
  </si>
  <si>
    <t>Clearwax Ear Drops</t>
  </si>
  <si>
    <t>Trapic MF Tab</t>
  </si>
  <si>
    <t>Reactin 50MG Tab</t>
  </si>
  <si>
    <t>Remetor F</t>
  </si>
  <si>
    <t>RCC0009</t>
  </si>
  <si>
    <t>HKB456</t>
  </si>
  <si>
    <t>N25V9032</t>
  </si>
  <si>
    <t>GTG1726A</t>
  </si>
  <si>
    <t>G25RDA021</t>
  </si>
  <si>
    <t>IA365001</t>
  </si>
  <si>
    <t>IA365003</t>
  </si>
  <si>
    <t>Medomol SP Tabs</t>
  </si>
  <si>
    <t>Becosules Plus Syrup</t>
  </si>
  <si>
    <t>Eltroxin Tablets</t>
  </si>
  <si>
    <t>Levipil 250MG Tab</t>
  </si>
  <si>
    <t xml:space="preserve">Volini Maxx Spray </t>
  </si>
  <si>
    <t>Electral Powder(BIG)</t>
  </si>
  <si>
    <t>Triobimet 2</t>
  </si>
  <si>
    <t>Tazloc Trio 40 Tabs</t>
  </si>
  <si>
    <t>Emolene Cream</t>
  </si>
  <si>
    <t>238BA01</t>
  </si>
  <si>
    <t>2533042O</t>
  </si>
  <si>
    <t>J79F</t>
  </si>
  <si>
    <t>GTG1874A</t>
  </si>
  <si>
    <t>GSB0087</t>
  </si>
  <si>
    <t>065G018</t>
  </si>
  <si>
    <t>ID205022</t>
  </si>
  <si>
    <t>APQ25030</t>
  </si>
  <si>
    <t>D240525</t>
  </si>
  <si>
    <t>Farehance Brightening Serum</t>
  </si>
  <si>
    <t>Behance Sunscreen</t>
  </si>
  <si>
    <t>Eyecirque Advance</t>
  </si>
  <si>
    <t>SH-407</t>
  </si>
  <si>
    <t>SH-295</t>
  </si>
  <si>
    <t>EADV017</t>
  </si>
  <si>
    <t>Acnewin Face Wash</t>
  </si>
  <si>
    <t>Omnigel 50GM</t>
  </si>
  <si>
    <t>Clop S Nano Lotion</t>
  </si>
  <si>
    <t>Meprate 10MG Tab</t>
  </si>
  <si>
    <t>Ebal 20</t>
  </si>
  <si>
    <t>Folica Hair Tincture</t>
  </si>
  <si>
    <t>O25AW003</t>
  </si>
  <si>
    <t>B0705</t>
  </si>
  <si>
    <t>IA00839A</t>
  </si>
  <si>
    <t>CUE04AEA</t>
  </si>
  <si>
    <t>O-2505</t>
  </si>
  <si>
    <t>Maxirich Multivitamins Caps</t>
  </si>
  <si>
    <t>Cipcal D3 Caps</t>
  </si>
  <si>
    <t>Enerzal Orange Sach 100GM</t>
  </si>
  <si>
    <t>Aerocort Rotacaps 60'S</t>
  </si>
  <si>
    <t>Sitaxa M 50+500 Tab</t>
  </si>
  <si>
    <t>Calosoft AF Lotion</t>
  </si>
  <si>
    <t>Aldigesic MR Tab</t>
  </si>
  <si>
    <t>NMF E Lip Care</t>
  </si>
  <si>
    <t xml:space="preserve">Udcament Susp </t>
  </si>
  <si>
    <t>Pankajakasthuri B/E SYP</t>
  </si>
  <si>
    <t>TF25008A</t>
  </si>
  <si>
    <t>S2520198</t>
  </si>
  <si>
    <t>5SA1263</t>
  </si>
  <si>
    <t>2TL2M006</t>
  </si>
  <si>
    <t>MCA530</t>
  </si>
  <si>
    <t>AMT25001MB</t>
  </si>
  <si>
    <t>ADO5015</t>
  </si>
  <si>
    <t>GMAD71</t>
  </si>
  <si>
    <t>GMAD69</t>
  </si>
  <si>
    <t>A012625</t>
  </si>
  <si>
    <t>Cetaphil Moisturising</t>
  </si>
  <si>
    <t xml:space="preserve">Lulifin Lotion </t>
  </si>
  <si>
    <t xml:space="preserve">Aquahance Advanced </t>
  </si>
  <si>
    <t>Acne UV Gel</t>
  </si>
  <si>
    <t>Fixon Cream</t>
  </si>
  <si>
    <t>Scar KT</t>
  </si>
  <si>
    <t>Losakind 50 Tab</t>
  </si>
  <si>
    <t>Finax 1MG Tab</t>
  </si>
  <si>
    <t>Teczine 10MG Tab</t>
  </si>
  <si>
    <t>Demelan Cream</t>
  </si>
  <si>
    <t>Vomikind MD 4</t>
  </si>
  <si>
    <t>Olmecip H Tab</t>
  </si>
  <si>
    <t>Stemetil MD Tab</t>
  </si>
  <si>
    <t>BSNG92</t>
  </si>
  <si>
    <t>GNC0012</t>
  </si>
  <si>
    <t>B006</t>
  </si>
  <si>
    <t>H062502</t>
  </si>
  <si>
    <t>C25089</t>
  </si>
  <si>
    <t>BI25001</t>
  </si>
  <si>
    <t>E55Y003</t>
  </si>
  <si>
    <t>WZ50040</t>
  </si>
  <si>
    <t>SIG0920A</t>
  </si>
  <si>
    <t>O255L006</t>
  </si>
  <si>
    <t>D45Y013</t>
  </si>
  <si>
    <t>5BA1501</t>
  </si>
  <si>
    <t>SEA25021</t>
  </si>
  <si>
    <t>Clohex ADS M/Wash</t>
  </si>
  <si>
    <t>Fixon Powder</t>
  </si>
  <si>
    <t>Orsl Apple</t>
  </si>
  <si>
    <t>ADS25074</t>
  </si>
  <si>
    <t>F25066</t>
  </si>
  <si>
    <t>SK50068</t>
  </si>
  <si>
    <t>Eberfine XL Cream</t>
  </si>
  <si>
    <t>Lomotil 20 Tab</t>
  </si>
  <si>
    <t>Elfri Lotion</t>
  </si>
  <si>
    <t>BM507</t>
  </si>
  <si>
    <t>03L25025</t>
  </si>
  <si>
    <t>EL25002</t>
  </si>
  <si>
    <t>Benzonix -XL Gel Wash</t>
  </si>
  <si>
    <t>Seb Baby Lotion With Pump</t>
  </si>
  <si>
    <t>5A036A22</t>
  </si>
  <si>
    <t>Inderal LA 40MG Tab</t>
  </si>
  <si>
    <t>Onabest SD 30ML Lotion</t>
  </si>
  <si>
    <t>Nohives Tab</t>
  </si>
  <si>
    <t>Aquahance Mois Soap</t>
  </si>
  <si>
    <t>Atogla Skin Lotion</t>
  </si>
  <si>
    <t xml:space="preserve">Ultitar CS Lotion </t>
  </si>
  <si>
    <t>Nicotex 2 Mint S/F</t>
  </si>
  <si>
    <t>Lopamide 10 Tabs</t>
  </si>
  <si>
    <t>PCL0515</t>
  </si>
  <si>
    <t>EOS5012</t>
  </si>
  <si>
    <t>CDGR27</t>
  </si>
  <si>
    <t>AL2534</t>
  </si>
  <si>
    <t>UC-122</t>
  </si>
  <si>
    <t>SM90550</t>
  </si>
  <si>
    <t>SM90603</t>
  </si>
  <si>
    <t>2092M013</t>
  </si>
  <si>
    <t>Glowzex Foaming Facewash</t>
  </si>
  <si>
    <t xml:space="preserve">Lulizex Spray </t>
  </si>
  <si>
    <t>Ketozex Cream</t>
  </si>
  <si>
    <t>Eberzex Cream</t>
  </si>
  <si>
    <t>B24292</t>
  </si>
  <si>
    <t>H294</t>
  </si>
  <si>
    <t>D250092</t>
  </si>
  <si>
    <t>H1049</t>
  </si>
  <si>
    <t>Santhosh Enterprises</t>
  </si>
  <si>
    <t xml:space="preserve">Gentle Baby Soap </t>
  </si>
  <si>
    <t>Warren Orthodontic</t>
  </si>
  <si>
    <t>Mederma Advanced Plus</t>
  </si>
  <si>
    <t>BX Shampoo</t>
  </si>
  <si>
    <t>Ziglim MV 2 Tabs</t>
  </si>
  <si>
    <t>Neptaz 50MG Tab</t>
  </si>
  <si>
    <t>Trfy Cream</t>
  </si>
  <si>
    <t>Tribet 2 Tabs</t>
  </si>
  <si>
    <t>Xerina Cream</t>
  </si>
  <si>
    <t>Zole Skin Oint</t>
  </si>
  <si>
    <t>25DH001</t>
  </si>
  <si>
    <t>BH694</t>
  </si>
  <si>
    <t>W05Y009</t>
  </si>
  <si>
    <t>575E021</t>
  </si>
  <si>
    <t>LUAS0592</t>
  </si>
  <si>
    <t>C104</t>
  </si>
  <si>
    <t>AJL0107</t>
  </si>
  <si>
    <t>RXE25006</t>
  </si>
  <si>
    <t>SXG1248A</t>
  </si>
  <si>
    <t>Stamlo T Tabs</t>
  </si>
  <si>
    <t>Mahacef 200</t>
  </si>
  <si>
    <t>Aten 50MG Tab</t>
  </si>
  <si>
    <t>Kofarest SYP</t>
  </si>
  <si>
    <t>Thyronorm 100</t>
  </si>
  <si>
    <t>P-250 Suspension</t>
  </si>
  <si>
    <t>Candiforce 200 Caps</t>
  </si>
  <si>
    <t>Huminsulin 30/70</t>
  </si>
  <si>
    <t>SLT250719</t>
  </si>
  <si>
    <t>C0AKY030</t>
  </si>
  <si>
    <t>IA00538A</t>
  </si>
  <si>
    <t>803160D7</t>
  </si>
  <si>
    <t>GA037</t>
  </si>
  <si>
    <t>TMH25179</t>
  </si>
  <si>
    <t>PTS25178</t>
  </si>
  <si>
    <t>C65Y042</t>
  </si>
  <si>
    <t>H1465</t>
  </si>
  <si>
    <t>G35Y025</t>
  </si>
  <si>
    <t>A0030177</t>
  </si>
  <si>
    <t>Anaboom Pro Serum</t>
  </si>
  <si>
    <t>Cuticlair Anti Acne Soap</t>
  </si>
  <si>
    <t>Practin 4MG Tab</t>
  </si>
  <si>
    <t>AB Next Gel</t>
  </si>
  <si>
    <t>Alerid Syrup</t>
  </si>
  <si>
    <t>KLM D3 Nano Shots</t>
  </si>
  <si>
    <t>WWC0044</t>
  </si>
  <si>
    <t>130M25</t>
  </si>
  <si>
    <t>D2500190</t>
  </si>
  <si>
    <t>CS5008</t>
  </si>
  <si>
    <t>AB25001</t>
  </si>
  <si>
    <t>IA275015</t>
  </si>
  <si>
    <t>ZVS25127</t>
  </si>
  <si>
    <t>5A60683</t>
  </si>
  <si>
    <t>AZS05ABA</t>
  </si>
  <si>
    <t>Tressgain Serum</t>
  </si>
  <si>
    <t>HTR-127</t>
  </si>
  <si>
    <t>HTR-291</t>
  </si>
  <si>
    <t>Sporamiz SB 130 Caos</t>
  </si>
  <si>
    <t>GYHF2502</t>
  </si>
  <si>
    <t>THMNX2504</t>
  </si>
  <si>
    <t>Flomist Nasal Spray</t>
  </si>
  <si>
    <t>MX S Topical Solution</t>
  </si>
  <si>
    <t>Propysalic NF Ointment</t>
  </si>
  <si>
    <t>GP 3MG Tab</t>
  </si>
  <si>
    <t>Glucoryl MV2 Tab 15'S</t>
  </si>
  <si>
    <t>Tazloc Beta 50MG Tab</t>
  </si>
  <si>
    <t>T Bact Oint 15GM</t>
  </si>
  <si>
    <t>Cobadex CZS Tab</t>
  </si>
  <si>
    <t>Rantac 300MG Tab</t>
  </si>
  <si>
    <t xml:space="preserve">Regabipo Spray </t>
  </si>
  <si>
    <t>Ifin 250MG Tab</t>
  </si>
  <si>
    <t>Cuticlair ADV Foam Face Wash</t>
  </si>
  <si>
    <t>Cardace 2.5MG Tab</t>
  </si>
  <si>
    <t>Daparyl V 10/100 Tab</t>
  </si>
  <si>
    <t>5SA0581</t>
  </si>
  <si>
    <t>THX-2504</t>
  </si>
  <si>
    <t>B032</t>
  </si>
  <si>
    <t>H2258</t>
  </si>
  <si>
    <t>TDF17</t>
  </si>
  <si>
    <t>LB8U</t>
  </si>
  <si>
    <t>EJ2520</t>
  </si>
  <si>
    <t>BR625027</t>
  </si>
  <si>
    <t>KCI537</t>
  </si>
  <si>
    <t>G2915003</t>
  </si>
  <si>
    <t>4NG032</t>
  </si>
  <si>
    <t>EMV251016</t>
  </si>
  <si>
    <t>Gabapin ME 100MG Tab</t>
  </si>
  <si>
    <t>Hhsalic 6 Oint</t>
  </si>
  <si>
    <t>Hhlevo 5MG Tab</t>
  </si>
  <si>
    <t>LZHH Cream</t>
  </si>
  <si>
    <t>Mintop Eva Solution</t>
  </si>
  <si>
    <t>VildaPride DM 1000MG Tab</t>
  </si>
  <si>
    <t>Cutihance Women Tab</t>
  </si>
  <si>
    <t>Brufen 600 Tab</t>
  </si>
  <si>
    <t>Ezhh Cream</t>
  </si>
  <si>
    <t xml:space="preserve">BM513 </t>
  </si>
  <si>
    <t xml:space="preserve">K2501598 </t>
  </si>
  <si>
    <t>SF25080</t>
  </si>
  <si>
    <t>C64</t>
  </si>
  <si>
    <t>HHV25005</t>
  </si>
  <si>
    <t>H176</t>
  </si>
  <si>
    <t>MNV250001</t>
  </si>
  <si>
    <t>VDDME100</t>
  </si>
  <si>
    <t>B041</t>
  </si>
  <si>
    <t>WHT25001</t>
  </si>
  <si>
    <t>782851D7</t>
  </si>
  <si>
    <t>H052</t>
  </si>
  <si>
    <t>L25L006</t>
  </si>
  <si>
    <t>Tressgain Serum 50GM</t>
  </si>
  <si>
    <t>HTR-1170</t>
  </si>
  <si>
    <t>Trichogrow Shampoo 150ML</t>
  </si>
  <si>
    <t>HTR-136</t>
  </si>
  <si>
    <t>HTR-206</t>
  </si>
  <si>
    <t xml:space="preserve">Gentle Baby Wipes </t>
  </si>
  <si>
    <t>Seb Anti Dandruff Shampoo</t>
  </si>
  <si>
    <t>Candid Gold Powder 100GM</t>
  </si>
  <si>
    <t>Turby D SYP</t>
  </si>
  <si>
    <t>Sporamiz 200MG Caps</t>
  </si>
  <si>
    <t xml:space="preserve">LA Shield IR Gel </t>
  </si>
  <si>
    <t>Melgain 2ML</t>
  </si>
  <si>
    <t>Sitaday DM Tab</t>
  </si>
  <si>
    <t>Foracort 200 R/C 60'S</t>
  </si>
  <si>
    <t>Oaknets Photo First Cream</t>
  </si>
  <si>
    <t xml:space="preserve">Clohex ADS Liquid </t>
  </si>
  <si>
    <t>Myoril 4MG Caps</t>
  </si>
  <si>
    <t xml:space="preserve">Ivrea Shampoo </t>
  </si>
  <si>
    <t>Nervijen Plus Injection</t>
  </si>
  <si>
    <t xml:space="preserve">Tiger Balm Red </t>
  </si>
  <si>
    <t>BNT250095</t>
  </si>
  <si>
    <t>5A177A72</t>
  </si>
  <si>
    <t>CH25003</t>
  </si>
  <si>
    <t>A20781</t>
  </si>
  <si>
    <t>HC24115</t>
  </si>
  <si>
    <t>AFB1091</t>
  </si>
  <si>
    <t>A0OAY003</t>
  </si>
  <si>
    <t>5BA0173</t>
  </si>
  <si>
    <t>BPFCG2510</t>
  </si>
  <si>
    <t>TH0195E</t>
  </si>
  <si>
    <t>NIP212501</t>
  </si>
  <si>
    <t>R25076</t>
  </si>
  <si>
    <t>ADS25071</t>
  </si>
  <si>
    <t>Seb Anti Hairloss Shampoo</t>
  </si>
  <si>
    <t>Erytop Gel</t>
  </si>
  <si>
    <t>Sinarest New Tab</t>
  </si>
  <si>
    <t>Clindac A Gel</t>
  </si>
  <si>
    <t>Tedibar 75GM 2'S</t>
  </si>
  <si>
    <t>D Veniz 50MG Tab</t>
  </si>
  <si>
    <t xml:space="preserve">Senquel AD M/Wash </t>
  </si>
  <si>
    <t>Macbery Susp</t>
  </si>
  <si>
    <t>5A017A33</t>
  </si>
  <si>
    <t>EG5017</t>
  </si>
  <si>
    <t>I25063</t>
  </si>
  <si>
    <t>GREL25107</t>
  </si>
  <si>
    <t>GKG0429A</t>
  </si>
  <si>
    <t>BSD25021</t>
  </si>
  <si>
    <t>18252382A</t>
  </si>
  <si>
    <t>Clop S 3.5 Lotion</t>
  </si>
  <si>
    <t>Propysalic Plus 6% Lotion</t>
  </si>
  <si>
    <t>Tenovate M Cream</t>
  </si>
  <si>
    <t>Sinarest AF Drops</t>
  </si>
  <si>
    <t>Zedex Cough Syrup</t>
  </si>
  <si>
    <t>Dexona Tab</t>
  </si>
  <si>
    <t>Eumosone M Cream</t>
  </si>
  <si>
    <t xml:space="preserve">Betadine G 2% </t>
  </si>
  <si>
    <t>H030</t>
  </si>
  <si>
    <t>I404015</t>
  </si>
  <si>
    <t>H027</t>
  </si>
  <si>
    <t>SHU16</t>
  </si>
  <si>
    <t>AL027</t>
  </si>
  <si>
    <t>ZP50037</t>
  </si>
  <si>
    <t>BEB1178</t>
  </si>
  <si>
    <t>5HW20</t>
  </si>
  <si>
    <t>GL02425</t>
  </si>
  <si>
    <t>Cosmelite Next Cream</t>
  </si>
  <si>
    <t>BCN2502</t>
  </si>
  <si>
    <t xml:space="preserve">Mildy Shampoo </t>
  </si>
  <si>
    <t>Ecosprin AV 75/40 Cap</t>
  </si>
  <si>
    <t xml:space="preserve">Picon cream </t>
  </si>
  <si>
    <t>Lorfast Meltab</t>
  </si>
  <si>
    <t>Thyronorm 75MCG 120'S Tab</t>
  </si>
  <si>
    <t>Kera XL Hair Growth Serum</t>
  </si>
  <si>
    <t>Kerabounce Shampoo</t>
  </si>
  <si>
    <t>Torplat 60MG Tab</t>
  </si>
  <si>
    <t xml:space="preserve">Aziderm Plus </t>
  </si>
  <si>
    <t>Megalis D Tab</t>
  </si>
  <si>
    <t>Oxra S Tab</t>
  </si>
  <si>
    <t>Nebicard T Tab</t>
  </si>
  <si>
    <t>IM749</t>
  </si>
  <si>
    <t>SHS26</t>
  </si>
  <si>
    <t>JKDF25003</t>
  </si>
  <si>
    <t>TMF25162</t>
  </si>
  <si>
    <t>BI25024</t>
  </si>
  <si>
    <t>2PA5M003</t>
  </si>
  <si>
    <t>MAP047</t>
  </si>
  <si>
    <t>AII07AAA</t>
  </si>
  <si>
    <t>GTG1641A</t>
  </si>
  <si>
    <t>2SZ6M004</t>
  </si>
  <si>
    <t xml:space="preserve">Accu Chek </t>
  </si>
  <si>
    <t>H062503</t>
  </si>
  <si>
    <t>B023</t>
  </si>
  <si>
    <t>B024</t>
  </si>
  <si>
    <t>Expiry Date</t>
  </si>
  <si>
    <t>Manufacture date</t>
  </si>
  <si>
    <t>Lecmon-AM</t>
  </si>
  <si>
    <t>MRP</t>
  </si>
  <si>
    <t>Proanagen Tabs</t>
  </si>
  <si>
    <t>Xaliderm Solution</t>
  </si>
  <si>
    <t>Terbinaforce 500</t>
  </si>
  <si>
    <t>Ocid 20</t>
  </si>
  <si>
    <t>Metsmall 500</t>
  </si>
  <si>
    <t>Sinarest</t>
  </si>
  <si>
    <t>Alembic</t>
  </si>
  <si>
    <t>ItchInsta</t>
  </si>
  <si>
    <t>Suncros</t>
  </si>
  <si>
    <t>Itrazet-200</t>
  </si>
  <si>
    <t>Laveta M</t>
  </si>
  <si>
    <t>Inclofax</t>
  </si>
  <si>
    <t>Dailycal-500</t>
  </si>
  <si>
    <t>Niglow</t>
  </si>
  <si>
    <t>Glenmark</t>
  </si>
  <si>
    <t>Lamitor</t>
  </si>
  <si>
    <t>Ozalel</t>
  </si>
  <si>
    <t>Rozalet 20</t>
  </si>
  <si>
    <t>Montair</t>
  </si>
  <si>
    <t>Allopurinol</t>
  </si>
  <si>
    <t>Istavel</t>
  </si>
  <si>
    <t>S-clear Cream</t>
  </si>
  <si>
    <t>Glucoryl MV1</t>
  </si>
  <si>
    <t xml:space="preserve">Total </t>
  </si>
  <si>
    <t>Category</t>
  </si>
  <si>
    <t xml:space="preserve">Profit per product </t>
  </si>
  <si>
    <t>Row Labels</t>
  </si>
  <si>
    <t>Grand Total</t>
  </si>
  <si>
    <t>Sum of Net Value</t>
  </si>
  <si>
    <t>(blank)</t>
  </si>
  <si>
    <t xml:space="preserve">Day when maximum revenue was generated </t>
  </si>
  <si>
    <t xml:space="preserve">Day when maximum profit was generated </t>
  </si>
  <si>
    <t>Average daily sale</t>
  </si>
  <si>
    <t>Sum of Quantity</t>
  </si>
  <si>
    <t>Gastro Tabs</t>
  </si>
  <si>
    <t>Anti-microbial</t>
  </si>
  <si>
    <t>Body Care</t>
  </si>
  <si>
    <t>Total cost of expired products</t>
  </si>
  <si>
    <t xml:space="preserve">Total revenue </t>
  </si>
  <si>
    <t>Hairbless Tablet</t>
  </si>
  <si>
    <t>Tarsalic Lotion</t>
  </si>
  <si>
    <t xml:space="preserve">Glycomet-GP </t>
  </si>
  <si>
    <t xml:space="preserve">Supermet XL </t>
  </si>
  <si>
    <t xml:space="preserve">IFIN 500MG </t>
  </si>
  <si>
    <t>Fenobate  Capsule</t>
  </si>
  <si>
    <t>Nogacid Capsule</t>
  </si>
  <si>
    <t>Losatus AM Tablet</t>
  </si>
  <si>
    <t xml:space="preserve">Glycomet Tablet </t>
  </si>
  <si>
    <t>Tenolol 50MG</t>
  </si>
  <si>
    <t>Total Profit</t>
  </si>
  <si>
    <t>Sum of Total Profit</t>
  </si>
  <si>
    <t>Date of Sale</t>
  </si>
  <si>
    <t xml:space="preserve">Day when minimum profit was generated </t>
  </si>
  <si>
    <t xml:space="preserve">Day when minimum revenue was generated </t>
  </si>
  <si>
    <t>Percentage of Loss due to expired products</t>
  </si>
  <si>
    <t>ANTI-MICROBIAL :REVENUE CONTRIBUTION</t>
  </si>
  <si>
    <t>SKINCARE:REVENUE CONTRIBUTION</t>
  </si>
  <si>
    <t xml:space="preserve">Sum of Total </t>
  </si>
  <si>
    <t xml:space="preserve">Immunosuppresant </t>
  </si>
  <si>
    <t>Prednisone</t>
  </si>
  <si>
    <t>Methylprednisolone</t>
  </si>
  <si>
    <t>Tacrolimus</t>
  </si>
  <si>
    <t>Cyclosporine</t>
  </si>
  <si>
    <t>Mycophenolate Mofetil</t>
  </si>
  <si>
    <t>Azathioprine</t>
  </si>
  <si>
    <t>Methotrexate</t>
  </si>
  <si>
    <t>Sirolimus</t>
  </si>
  <si>
    <t>Everolimus</t>
  </si>
  <si>
    <t>Infliximab</t>
  </si>
  <si>
    <t>Rituximab</t>
  </si>
  <si>
    <t>LOSS DUE TO SKINCARE</t>
  </si>
  <si>
    <t>LOSS DUE TO IMMUNOSUPPRESSANT</t>
  </si>
  <si>
    <t>Vitamins</t>
  </si>
  <si>
    <t>A/B/C</t>
  </si>
  <si>
    <t>Total Revenue</t>
  </si>
  <si>
    <t xml:space="preserve">Percentage </t>
  </si>
  <si>
    <t>Cummulative Sum</t>
  </si>
  <si>
    <t>Cummulate Percentage</t>
  </si>
  <si>
    <t>A</t>
  </si>
  <si>
    <t>B</t>
  </si>
  <si>
    <t>B(Next 15%)</t>
  </si>
  <si>
    <t>C(Botton 5%)</t>
  </si>
  <si>
    <t>A(Top 80%)</t>
  </si>
  <si>
    <t>80+15</t>
  </si>
  <si>
    <t>95+5</t>
  </si>
  <si>
    <t>C</t>
  </si>
  <si>
    <t>A/B/C Analysis</t>
  </si>
  <si>
    <t>FSN Analysis</t>
  </si>
  <si>
    <t>Cummulative Sum(Items)</t>
  </si>
  <si>
    <t>Percentage(Items)</t>
  </si>
  <si>
    <t>Cummulative %(Items)</t>
  </si>
  <si>
    <t xml:space="preserve">FSN </t>
  </si>
  <si>
    <t>F</t>
  </si>
  <si>
    <t>S(Slow Moving Items 15%)</t>
  </si>
  <si>
    <t>F(Fast Moving Items Top 80%)</t>
  </si>
  <si>
    <t>N(Non Moving Items Bottom 5%)</t>
  </si>
  <si>
    <t>S</t>
  </si>
  <si>
    <t>N</t>
  </si>
  <si>
    <t>Total Quantity</t>
  </si>
  <si>
    <t>CLASS A</t>
  </si>
  <si>
    <t>CLASS B</t>
  </si>
  <si>
    <t>CLASS C</t>
  </si>
  <si>
    <t>F(Fast Moving Items)</t>
  </si>
  <si>
    <t>S(Slow Moving Items)</t>
  </si>
  <si>
    <t>N(Non-Moving items)</t>
  </si>
  <si>
    <t>EOQ</t>
  </si>
  <si>
    <t>D(total units of category sold in a month x12)</t>
  </si>
  <si>
    <t>S (Micellaneous cost )</t>
  </si>
  <si>
    <t>H(Holding cost)</t>
  </si>
  <si>
    <t>EOQ(Economic order quantity for a category)</t>
  </si>
  <si>
    <t>Sum of Selling Price</t>
  </si>
  <si>
    <t>Avg Unit Cost for each category</t>
  </si>
  <si>
    <t>Demand(D)</t>
  </si>
  <si>
    <t>Holding Cost(H)</t>
  </si>
  <si>
    <t xml:space="preserve">ROP (Reorder Point ) </t>
  </si>
  <si>
    <t xml:space="preserve"> sqrt((2DS)/H)</t>
  </si>
  <si>
    <t>( d*LL)+ s</t>
  </si>
  <si>
    <t>d</t>
  </si>
  <si>
    <t>LL</t>
  </si>
  <si>
    <t>s</t>
  </si>
  <si>
    <t>Daily Demand</t>
  </si>
  <si>
    <t>20% of unit cost</t>
  </si>
  <si>
    <t>20% of monthly demand</t>
  </si>
  <si>
    <t>Safety Stock</t>
  </si>
  <si>
    <t>ROP</t>
  </si>
  <si>
    <t>days</t>
  </si>
  <si>
    <t>FSN</t>
  </si>
  <si>
    <t>Combined ABC, FSN, EOQ and ROP Analysis Table</t>
  </si>
  <si>
    <t>Percentage of Loss</t>
  </si>
  <si>
    <t xml:space="preserve">Expired Data Analysis </t>
  </si>
  <si>
    <t>PARETO PRINCIPLE</t>
  </si>
  <si>
    <t>Categories</t>
  </si>
  <si>
    <t>20% of the products</t>
  </si>
  <si>
    <t>80% of Revenue?</t>
  </si>
  <si>
    <t>Not applicable</t>
  </si>
  <si>
    <t>F (Fast Selling )</t>
  </si>
  <si>
    <t>S (Slow Selling )</t>
  </si>
  <si>
    <t>N (Non Moving)</t>
  </si>
  <si>
    <t>Cold</t>
  </si>
  <si>
    <t>ABC</t>
  </si>
  <si>
    <t>EOQ Applicability</t>
  </si>
  <si>
    <t>High</t>
  </si>
  <si>
    <t>Low</t>
  </si>
  <si>
    <t>Medium</t>
  </si>
  <si>
    <t>Recommended Inventory Action</t>
  </si>
  <si>
    <t>EOQ-based ordering</t>
  </si>
  <si>
    <t>Minimal Stock / Demand Based</t>
  </si>
  <si>
    <t>EOQ with periodic review</t>
  </si>
  <si>
    <t>Date</t>
  </si>
  <si>
    <t>Revenue</t>
  </si>
  <si>
    <t>Weekly Based Revenue</t>
  </si>
  <si>
    <t>Week Number</t>
  </si>
  <si>
    <t>WEEK I</t>
  </si>
  <si>
    <t>WEEK II</t>
  </si>
  <si>
    <t>WEEK III</t>
  </si>
  <si>
    <t>WEEK IV</t>
  </si>
  <si>
    <t>Total Revenue generated</t>
  </si>
  <si>
    <t>Total Profit generated</t>
  </si>
  <si>
    <t>Total Expired Loss</t>
  </si>
  <si>
    <t xml:space="preserve">% of Expired </t>
  </si>
  <si>
    <t>Profit</t>
  </si>
  <si>
    <t>Cummulative  %</t>
  </si>
  <si>
    <t>Loss Incurred</t>
  </si>
  <si>
    <t>Revenue Generated</t>
  </si>
  <si>
    <t>Daily Demand (Average)</t>
  </si>
  <si>
    <t>Column Labels</t>
  </si>
  <si>
    <t>Average Daily Demand</t>
  </si>
  <si>
    <t>Std Dev of Demand</t>
  </si>
  <si>
    <t>Coefficient of Variation (CV)</t>
  </si>
  <si>
    <t>Expiry Risk</t>
  </si>
  <si>
    <t>Demand Stability</t>
  </si>
  <si>
    <t>Revenue Importance</t>
  </si>
  <si>
    <t>2 = Moderate expiry risk</t>
  </si>
  <si>
    <t xml:space="preserve">3 = High expiry loss </t>
  </si>
  <si>
    <t>1 = Low or negligible expiry</t>
  </si>
  <si>
    <t>CV &gt; 2.0 : Highly unstable  :3</t>
  </si>
  <si>
    <t>1.2 ≤ CV ≤ 2.0 : Moderately unstable : 2</t>
  </si>
  <si>
    <t>CV &lt; 1.2 :  Stable : 1</t>
  </si>
  <si>
    <t>A:3</t>
  </si>
  <si>
    <t>B:2</t>
  </si>
  <si>
    <t>C:1</t>
  </si>
  <si>
    <t>Inventory Risk Heat Map</t>
  </si>
  <si>
    <t xml:space="preserve">          Low </t>
  </si>
  <si>
    <t xml:space="preserve">          Moderate </t>
  </si>
  <si>
    <t xml:space="preserve">          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</si>
</sst>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 &quot;₹&quot;\ * #,##0.00_ ;_ &quot;₹&quot;\ * \-#,##0.00_ ;_ &quot;₹&quot;\ * &quot;-&quot;??_ ;_ @_ "/>
    <numFmt numFmtId="164" formatCode="[$-409]mmm/yy;@"/>
    <numFmt numFmtId="165" formatCode="[$-F800]dddd\,\ mmmm\ dd\,\ yyyy"/>
    <numFmt numFmtId="166" formatCode="_ [$₹-4009]\ * #,##0.00_ ;_ [$₹-4009]\ * \-#,##0.00_ ;_ [$₹-4009]\ * &quot;-&quot;??_ ;_ @_ "/>
    <numFmt numFmtId="167" formatCode="&quot;₹&quot;\ #,##0.00"/>
    <numFmt numFmtId="168" formatCode="0.0&quot;%&quot;"/>
    <numFmt numFmtId="169" formatCode="0.0%"/>
    <numFmt numFmtId="170" formatCode="0.0"/>
    <numFmt numFmtId="171" formatCode="0.0000"/>
    <numFmt numFmtId="172" formatCode=";;;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 Light"/>
      <family val="2"/>
      <scheme val="major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40"/>
      <color theme="1"/>
      <name val="Times New Roman"/>
      <family val="1"/>
    </font>
    <font>
      <sz val="40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indexed="64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84">
    <xf numFmtId="0" fontId="0" fillId="0" borderId="0" xfId="0"/>
    <xf numFmtId="2" fontId="0" fillId="0" borderId="0" xfId="0" applyNumberFormat="1"/>
    <xf numFmtId="14" fontId="0" fillId="0" borderId="0" xfId="0" applyNumberFormat="1"/>
    <xf numFmtId="17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164" fontId="1" fillId="0" borderId="0" xfId="0" applyNumberFormat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167" fontId="0" fillId="0" borderId="0" xfId="0" applyNumberFormat="1"/>
    <xf numFmtId="167" fontId="2" fillId="0" borderId="0" xfId="0" applyNumberFormat="1" applyFont="1"/>
    <xf numFmtId="168" fontId="2" fillId="0" borderId="0" xfId="0" applyNumberFormat="1" applyFont="1"/>
    <xf numFmtId="168" fontId="0" fillId="0" borderId="0" xfId="0" applyNumberFormat="1"/>
    <xf numFmtId="167" fontId="1" fillId="0" borderId="0" xfId="0" applyNumberFormat="1" applyFont="1"/>
    <xf numFmtId="0" fontId="1" fillId="2" borderId="1" xfId="0" applyFont="1" applyFill="1" applyBorder="1"/>
    <xf numFmtId="44" fontId="0" fillId="0" borderId="0" xfId="0" applyNumberFormat="1"/>
    <xf numFmtId="0" fontId="1" fillId="2" borderId="2" xfId="0" applyFont="1" applyFill="1" applyBorder="1"/>
    <xf numFmtId="169" fontId="0" fillId="0" borderId="0" xfId="0" applyNumberFormat="1"/>
    <xf numFmtId="9" fontId="0" fillId="0" borderId="0" xfId="0" applyNumberFormat="1"/>
    <xf numFmtId="0" fontId="0" fillId="3" borderId="0" xfId="0" applyFill="1"/>
    <xf numFmtId="0" fontId="1" fillId="3" borderId="0" xfId="0" applyFont="1" applyFill="1"/>
    <xf numFmtId="1" fontId="0" fillId="0" borderId="0" xfId="0" applyNumberFormat="1"/>
    <xf numFmtId="170" fontId="0" fillId="0" borderId="0" xfId="0" applyNumberFormat="1"/>
    <xf numFmtId="0" fontId="7" fillId="0" borderId="0" xfId="0" applyFont="1"/>
    <xf numFmtId="14" fontId="1" fillId="0" borderId="0" xfId="0" applyNumberFormat="1" applyFont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6" fillId="3" borderId="0" xfId="0" applyFont="1" applyFill="1" applyAlignment="1">
      <alignment horizontal="center"/>
    </xf>
    <xf numFmtId="167" fontId="6" fillId="3" borderId="0" xfId="0" applyNumberFormat="1" applyFont="1" applyFill="1" applyAlignment="1">
      <alignment horizontal="center"/>
    </xf>
    <xf numFmtId="2" fontId="1" fillId="2" borderId="1" xfId="0" applyNumberFormat="1" applyFont="1" applyFill="1" applyBorder="1"/>
    <xf numFmtId="2" fontId="0" fillId="0" borderId="0" xfId="0" applyNumberFormat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/>
    <xf numFmtId="2" fontId="1" fillId="4" borderId="3" xfId="0" applyNumberFormat="1" applyFont="1" applyFill="1" applyBorder="1"/>
    <xf numFmtId="17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72" fontId="0" fillId="0" borderId="0" xfId="0" applyNumberFormat="1"/>
    <xf numFmtId="0" fontId="9" fillId="6" borderId="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0" fontId="0" fillId="0" borderId="11" xfId="0" applyBorder="1"/>
    <xf numFmtId="0" fontId="0" fillId="0" borderId="1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8" fillId="3" borderId="5" xfId="0" applyFont="1" applyFill="1" applyBorder="1" applyAlignment="1">
      <alignment horizontal="center" vertical="center"/>
    </xf>
    <xf numFmtId="0" fontId="0" fillId="0" borderId="20" xfId="0" applyBorder="1"/>
    <xf numFmtId="0" fontId="0" fillId="0" borderId="8" xfId="0" applyBorder="1"/>
    <xf numFmtId="0" fontId="9" fillId="6" borderId="2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0" fillId="0" borderId="24" xfId="0" applyBorder="1"/>
    <xf numFmtId="0" fontId="9" fillId="6" borderId="25" xfId="0" applyFont="1" applyFill="1" applyBorder="1" applyAlignment="1">
      <alignment horizontal="center" vertical="center"/>
    </xf>
    <xf numFmtId="172" fontId="0" fillId="0" borderId="26" xfId="0" applyNumberFormat="1" applyBorder="1"/>
    <xf numFmtId="0" fontId="8" fillId="3" borderId="27" xfId="0" applyFont="1" applyFill="1" applyBorder="1" applyAlignment="1">
      <alignment horizontal="center" vertical="center"/>
    </xf>
    <xf numFmtId="172" fontId="0" fillId="0" borderId="28" xfId="0" applyNumberFormat="1" applyBorder="1"/>
    <xf numFmtId="172" fontId="0" fillId="0" borderId="29" xfId="0" applyNumberFormat="1" applyBorder="1"/>
    <xf numFmtId="0" fontId="14" fillId="0" borderId="0" xfId="0" applyFont="1"/>
    <xf numFmtId="0" fontId="10" fillId="0" borderId="13" xfId="0" applyFont="1" applyBorder="1" applyAlignment="1">
      <alignment horizontal="left" vertical="center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44" fontId="1" fillId="2" borderId="2" xfId="0" applyNumberFormat="1" applyFont="1" applyFill="1" applyBorder="1"/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</cellXfs>
  <cellStyles count="1">
    <cellStyle name="Normal" xfId="0" builtinId="0"/>
  </cellStyles>
  <dxfs count="11">
    <dxf>
      <numFmt numFmtId="34" formatCode="_ &quot;₹&quot;\ * #,##0.00_ ;_ &quot;₹&quot;\ * \-#,##0.00_ ;_ &quot;₹&quot;\ * &quot;-&quot;??_ ;_ @_ "/>
    </dxf>
    <dxf>
      <numFmt numFmtId="167" formatCode="&quot;₹&quot;\ #,##0.00"/>
    </dxf>
    <dxf>
      <numFmt numFmtId="167" formatCode="&quot;₹&quot;\ #,##0.00"/>
    </dxf>
    <dxf>
      <numFmt numFmtId="2" formatCode="0.00"/>
    </dxf>
    <dxf>
      <numFmt numFmtId="167" formatCode="&quot;₹&quot;\ #,##0.00"/>
    </dxf>
    <dxf>
      <numFmt numFmtId="167" formatCode="&quot;₹&quot;\ #,##0.00"/>
    </dxf>
    <dxf>
      <numFmt numFmtId="2" formatCode="0.00"/>
    </dxf>
    <dxf>
      <numFmt numFmtId="2" formatCode="0.00"/>
    </dxf>
    <dxf>
      <numFmt numFmtId="34" formatCode="_ &quot;₹&quot;\ * #,##0.00_ ;_ &quot;₹&quot;\ * \-#,##0.00_ ;_ &quot;₹&quot;\ * &quot;-&quot;??_ ;_ @_ "/>
    </dxf>
    <dxf>
      <numFmt numFmtId="2" formatCode="0.00"/>
    </dxf>
    <dxf>
      <numFmt numFmtId="167" formatCode="&quot;₹&quot;\ #,##0.00"/>
    </dxf>
  </dxfs>
  <tableStyles count="0" defaultTableStyle="TableStyleMedium2" defaultPivotStyle="PivotStyleLight16"/>
  <colors>
    <mruColors>
      <color rgb="FF5FE53B"/>
      <color rgb="FF3FFF96"/>
      <color rgb="FFFF4F4F"/>
      <color rgb="FFFFFF66"/>
      <color rgb="FFFE6058"/>
      <color rgb="FFD65D32"/>
      <color rgb="FFF56B03"/>
      <color rgb="FFA86ED4"/>
      <color rgb="FFFF8989"/>
      <color rgb="FF4DF5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Pareto Chart Analysis -Total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52591714100693"/>
          <c:y val="0.11874403970680211"/>
          <c:w val="0.71089713750438199"/>
          <c:h val="0.50965028661085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I'!$H$3</c:f>
              <c:strCache>
                <c:ptCount val="1"/>
                <c:pt idx="0">
                  <c:v>Sum of Net 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'Analysis I'!$G$4:$G$17</c:f>
              <c:strCache>
                <c:ptCount val="14"/>
                <c:pt idx="0">
                  <c:v>Skincare</c:v>
                </c:pt>
                <c:pt idx="1">
                  <c:v>Anti-microbial</c:v>
                </c:pt>
                <c:pt idx="2">
                  <c:v>Body Care</c:v>
                </c:pt>
                <c:pt idx="3">
                  <c:v>Vitamins/Minerals</c:v>
                </c:pt>
                <c:pt idx="4">
                  <c:v>Pain Relief</c:v>
                </c:pt>
                <c:pt idx="5">
                  <c:v>Cardiovascular</c:v>
                </c:pt>
                <c:pt idx="6">
                  <c:v>Sunscreen</c:v>
                </c:pt>
                <c:pt idx="7">
                  <c:v>Diabetes</c:v>
                </c:pt>
                <c:pt idx="8">
                  <c:v>Gastro Tabs</c:v>
                </c:pt>
                <c:pt idx="9">
                  <c:v>Respiratory</c:v>
                </c:pt>
                <c:pt idx="10">
                  <c:v>Cold/Cough</c:v>
                </c:pt>
                <c:pt idx="11">
                  <c:v>First Aid</c:v>
                </c:pt>
                <c:pt idx="12">
                  <c:v>Baby Care</c:v>
                </c:pt>
                <c:pt idx="13">
                  <c:v>Immunosuppressant</c:v>
                </c:pt>
              </c:strCache>
            </c:strRef>
          </c:cat>
          <c:val>
            <c:numRef>
              <c:f>'Analysis I'!$H$4:$H$17</c:f>
              <c:numCache>
                <c:formatCode>_("₹"* #,##0.00_);_("₹"* \(#,##0.00\);_("₹"* "-"??_);_(@_)</c:formatCode>
                <c:ptCount val="14"/>
                <c:pt idx="0">
                  <c:v>130075.75</c:v>
                </c:pt>
                <c:pt idx="1">
                  <c:v>87656.09</c:v>
                </c:pt>
                <c:pt idx="2">
                  <c:v>68741.590000000011</c:v>
                </c:pt>
                <c:pt idx="3">
                  <c:v>27297.650000000009</c:v>
                </c:pt>
                <c:pt idx="4">
                  <c:v>25688.45</c:v>
                </c:pt>
                <c:pt idx="5">
                  <c:v>20768.130000000005</c:v>
                </c:pt>
                <c:pt idx="6">
                  <c:v>13624.100000000002</c:v>
                </c:pt>
                <c:pt idx="7">
                  <c:v>12331.55</c:v>
                </c:pt>
                <c:pt idx="8">
                  <c:v>11714.390000000001</c:v>
                </c:pt>
                <c:pt idx="9">
                  <c:v>11057.119999999999</c:v>
                </c:pt>
                <c:pt idx="10">
                  <c:v>7530.95</c:v>
                </c:pt>
                <c:pt idx="11">
                  <c:v>3158.1600000000003</c:v>
                </c:pt>
                <c:pt idx="12">
                  <c:v>2858.1099999999997</c:v>
                </c:pt>
                <c:pt idx="13">
                  <c:v>1722.8200000000002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1-42AE-9445-77A203CE4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7"/>
        <c:axId val="754238048"/>
        <c:axId val="754228928"/>
      </c:barChart>
      <c:lineChart>
        <c:grouping val="standard"/>
        <c:varyColors val="0"/>
        <c:ser>
          <c:idx val="3"/>
          <c:order val="1"/>
          <c:tx>
            <c:strRef>
              <c:f>'Analysis I'!$K$3</c:f>
              <c:strCache>
                <c:ptCount val="1"/>
                <c:pt idx="0">
                  <c:v>Cummulate Percentage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3F61-42AE-9445-77A203CE49E9}"/>
              </c:ext>
            </c:extLst>
          </c:dPt>
          <c:cat>
            <c:strRef>
              <c:f>'Analysis I'!$G$4:$G$17</c:f>
              <c:strCache>
                <c:ptCount val="14"/>
                <c:pt idx="0">
                  <c:v>Skincare</c:v>
                </c:pt>
                <c:pt idx="1">
                  <c:v>Anti-microbial</c:v>
                </c:pt>
                <c:pt idx="2">
                  <c:v>Body Care</c:v>
                </c:pt>
                <c:pt idx="3">
                  <c:v>Vitamins/Minerals</c:v>
                </c:pt>
                <c:pt idx="4">
                  <c:v>Pain Relief</c:v>
                </c:pt>
                <c:pt idx="5">
                  <c:v>Cardiovascular</c:v>
                </c:pt>
                <c:pt idx="6">
                  <c:v>Sunscreen</c:v>
                </c:pt>
                <c:pt idx="7">
                  <c:v>Diabetes</c:v>
                </c:pt>
                <c:pt idx="8">
                  <c:v>Gastro Tabs</c:v>
                </c:pt>
                <c:pt idx="9">
                  <c:v>Respiratory</c:v>
                </c:pt>
                <c:pt idx="10">
                  <c:v>Cold/Cough</c:v>
                </c:pt>
                <c:pt idx="11">
                  <c:v>First Aid</c:v>
                </c:pt>
                <c:pt idx="12">
                  <c:v>Baby Care</c:v>
                </c:pt>
                <c:pt idx="13">
                  <c:v>Immunosuppressant</c:v>
                </c:pt>
              </c:strCache>
            </c:strRef>
          </c:cat>
          <c:val>
            <c:numRef>
              <c:f>'Analysis I'!$K$4:$K$17</c:f>
              <c:numCache>
                <c:formatCode>0.0%</c:formatCode>
                <c:ptCount val="14"/>
                <c:pt idx="0">
                  <c:v>0.30661981949855555</c:v>
                </c:pt>
                <c:pt idx="1">
                  <c:v>0.51324630055862352</c:v>
                </c:pt>
                <c:pt idx="2">
                  <c:v>0.67528675712215447</c:v>
                </c:pt>
                <c:pt idx="3">
                  <c:v>0.73963388189933055</c:v>
                </c:pt>
                <c:pt idx="4">
                  <c:v>0.80018773534394005</c:v>
                </c:pt>
                <c:pt idx="5">
                  <c:v>0.84914321145630189</c:v>
                </c:pt>
                <c:pt idx="6">
                  <c:v>0.88125849107475696</c:v>
                </c:pt>
                <c:pt idx="7">
                  <c:v>0.91032691954922207</c:v>
                </c:pt>
                <c:pt idx="8">
                  <c:v>0.9379405535074018</c:v>
                </c:pt>
                <c:pt idx="9">
                  <c:v>0.96400484403483577</c:v>
                </c:pt>
                <c:pt idx="10">
                  <c:v>0.98175710400375882</c:v>
                </c:pt>
                <c:pt idx="11">
                  <c:v>0.98920164650416764</c:v>
                </c:pt>
                <c:pt idx="12">
                  <c:v>0.99593889900747445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61-42AE-9445-77A203CE4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454560"/>
        <c:axId val="1242453600"/>
      </c:lineChart>
      <c:catAx>
        <c:axId val="75423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 of Medicines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28928"/>
        <c:crosses val="autoZero"/>
        <c:auto val="1"/>
        <c:lblAlgn val="ctr"/>
        <c:lblOffset val="100"/>
        <c:noMultiLvlLbl val="0"/>
      </c:catAx>
      <c:valAx>
        <c:axId val="7542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238048"/>
        <c:crosses val="autoZero"/>
        <c:crossBetween val="between"/>
      </c:valAx>
      <c:valAx>
        <c:axId val="12424536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CUMMALATIVE PERCENTAGE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54560"/>
        <c:crosses val="max"/>
        <c:crossBetween val="between"/>
      </c:valAx>
      <c:catAx>
        <c:axId val="1242454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2453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="1" i="0" baseline="0">
                <a:solidFill>
                  <a:sysClr val="windowText" lastClr="000000"/>
                </a:solidFill>
                <a:latin typeface="Times New Roman" panose="02020603050405020304" pitchFamily="18" charset="0"/>
              </a:rPr>
              <a:t>ABC-FSN Matrix Chart</a:t>
            </a:r>
          </a:p>
        </c:rich>
      </c:tx>
      <c:layout>
        <c:manualLayout>
          <c:xMode val="edge"/>
          <c:yMode val="edge"/>
          <c:x val="0.40212792951743564"/>
          <c:y val="1.49803633386865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I'!$O$4</c:f>
              <c:strCache>
                <c:ptCount val="1"/>
                <c:pt idx="0">
                  <c:v>F(Fast Moving Items)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'Analysis I'!$N$5:$N$7</c:f>
              <c:strCache>
                <c:ptCount val="3"/>
                <c:pt idx="0">
                  <c:v>CLASS A</c:v>
                </c:pt>
                <c:pt idx="1">
                  <c:v>CLASS B</c:v>
                </c:pt>
                <c:pt idx="2">
                  <c:v>CLASS C</c:v>
                </c:pt>
              </c:strCache>
            </c:strRef>
          </c:cat>
          <c:val>
            <c:numRef>
              <c:f>'Analysis I'!$O$5:$O$7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545-A0BE-67F6A978973C}"/>
            </c:ext>
          </c:extLst>
        </c:ser>
        <c:ser>
          <c:idx val="1"/>
          <c:order val="1"/>
          <c:tx>
            <c:strRef>
              <c:f>'Analysis I'!$P$4</c:f>
              <c:strCache>
                <c:ptCount val="1"/>
                <c:pt idx="0">
                  <c:v>S(Slow Moving Items)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I'!$N$5:$N$7</c:f>
              <c:strCache>
                <c:ptCount val="3"/>
                <c:pt idx="0">
                  <c:v>CLASS A</c:v>
                </c:pt>
                <c:pt idx="1">
                  <c:v>CLASS B</c:v>
                </c:pt>
                <c:pt idx="2">
                  <c:v>CLASS C</c:v>
                </c:pt>
              </c:strCache>
            </c:strRef>
          </c:cat>
          <c:val>
            <c:numRef>
              <c:f>'Analysis I'!$P$5:$P$7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1A-4545-A0BE-67F6A978973C}"/>
            </c:ext>
          </c:extLst>
        </c:ser>
        <c:ser>
          <c:idx val="2"/>
          <c:order val="2"/>
          <c:tx>
            <c:strRef>
              <c:f>'Analysis I'!$Q$4</c:f>
              <c:strCache>
                <c:ptCount val="1"/>
                <c:pt idx="0">
                  <c:v>N(Non-Moving items)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I'!$N$5:$N$7</c:f>
              <c:strCache>
                <c:ptCount val="3"/>
                <c:pt idx="0">
                  <c:v>CLASS A</c:v>
                </c:pt>
                <c:pt idx="1">
                  <c:v>CLASS B</c:v>
                </c:pt>
                <c:pt idx="2">
                  <c:v>CLASS C</c:v>
                </c:pt>
              </c:strCache>
            </c:strRef>
          </c:cat>
          <c:val>
            <c:numRef>
              <c:f>'Analysis I'!$Q$5:$Q$7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A-4545-A0BE-67F6A9789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724000"/>
        <c:axId val="529723040"/>
      </c:barChart>
      <c:catAx>
        <c:axId val="52972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baseline="0"/>
                  <a:t>ABC Class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0.49419668837319947"/>
              <c:y val="0.899608516457712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23040"/>
        <c:crosses val="autoZero"/>
        <c:auto val="1"/>
        <c:lblAlgn val="ctr"/>
        <c:lblOffset val="100"/>
        <c:noMultiLvlLbl val="0"/>
      </c:catAx>
      <c:valAx>
        <c:axId val="5297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baseline="0"/>
                  <a:t>Count of Items/Categories</a:t>
                </a:r>
                <a:endParaRPr lang="en-IN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2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FSN</a:t>
            </a:r>
            <a:r>
              <a:rPr lang="en-IN" baseline="0">
                <a:solidFill>
                  <a:schemeClr val="tx1"/>
                </a:solidFill>
              </a:rPr>
              <a:t> Analysis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EC26-45AA-A6FC-D047DF05AFF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C26-45AA-A6FC-D047DF05AFF1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C26-45AA-A6FC-D047DF05AFF1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C4310C8-B289-48A9-B4F1-59CC4665B017}" type="VALUE">
                      <a:rPr lang="en-US" baseline="0"/>
                      <a:pPr>
                        <a:defRPr/>
                      </a:pPr>
                      <a:t>[VALUE]</a:t>
                    </a:fld>
                    <a:r>
                      <a:rPr lang="en-US" baseline="0"/>
                      <a:t>, </a:t>
                    </a:r>
                    <a:fld id="{40A833E9-746B-4DCE-B742-BF610417834A}" type="PERCENTAGE">
                      <a:rPr lang="en-US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EC26-45AA-A6FC-D047DF05AFF1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 </a:t>
                    </a:r>
                    <a:fld id="{FB47BAF7-0ADF-42D1-AC29-87C137E93FFC}" type="VALUE">
                      <a:rPr lang="en-US" baseline="0"/>
                      <a:pPr>
                        <a:defRPr>
                          <a:solidFill>
                            <a:schemeClr val="accent2"/>
                          </a:solidFill>
                        </a:defRPr>
                      </a:pPr>
                      <a:t>[VALUE]</a:t>
                    </a:fld>
                    <a:r>
                      <a:rPr lang="en-US" baseline="0"/>
                      <a:t>, </a:t>
                    </a:r>
                    <a:fld id="{E1E07E32-F005-4BBA-A778-771CB800B032}" type="PERCENTAGE">
                      <a:rPr lang="en-US" baseline="0"/>
                      <a:pPr>
                        <a:defRPr>
                          <a:solidFill>
                            <a:schemeClr val="accent2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C26-45AA-A6FC-D047DF05AFF1}"/>
                </c:ext>
              </c:extLst>
            </c:dLbl>
            <c:dLbl>
              <c:idx val="2"/>
              <c:layout>
                <c:manualLayout>
                  <c:x val="4.1702102508365098E-2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  <a:p>
                    <a:pPr>
                      <a:defRPr>
                        <a:solidFill>
                          <a:schemeClr val="accent2"/>
                        </a:solidFill>
                      </a:defRPr>
                    </a:pPr>
                    <a:r>
                      <a:rPr lang="en-US"/>
                      <a:t> </a:t>
                    </a:r>
                    <a:fld id="{DF0DB0FC-CBB6-41FD-8E81-97ED2B2D35AF}" type="VALUE">
                      <a:rPr lang="en-US"/>
                      <a:pPr>
                        <a:defRPr>
                          <a:solidFill>
                            <a:schemeClr val="accent2"/>
                          </a:solidFill>
                        </a:defRPr>
                      </a:pPr>
                      <a:t>[VALUE]</a:t>
                    </a:fld>
                    <a:r>
                      <a:rPr lang="en-US"/>
                      <a:t>, </a:t>
                    </a:r>
                    <a:fld id="{C289365E-DF19-4D4A-8814-FE583CF259BD}" type="PERCENTAGE">
                      <a:rPr lang="en-US"/>
                      <a:pPr>
                        <a:defRPr>
                          <a:solidFill>
                            <a:schemeClr val="accent2"/>
                          </a:solidFill>
                        </a:defRPr>
                      </a:pPr>
                      <a:t>[PERCENTAGE]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EC26-45AA-A6FC-D047DF05AFF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I'!$J$42:$J$44</c:f>
              <c:strCache>
                <c:ptCount val="3"/>
                <c:pt idx="0">
                  <c:v>F (Fast Selling )</c:v>
                </c:pt>
                <c:pt idx="1">
                  <c:v>S (Slow Selling )</c:v>
                </c:pt>
                <c:pt idx="2">
                  <c:v>N (Non Moving)</c:v>
                </c:pt>
              </c:strCache>
            </c:strRef>
          </c:cat>
          <c:val>
            <c:numRef>
              <c:f>'Analysis I'!$K$42:$K$44</c:f>
              <c:numCache>
                <c:formatCode>General</c:formatCode>
                <c:ptCount val="3"/>
                <c:pt idx="0">
                  <c:v>1672</c:v>
                </c:pt>
                <c:pt idx="1">
                  <c:v>505</c:v>
                </c:pt>
                <c:pt idx="2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6-45AA-A6FC-D047DF05AFF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C26-45AA-A6FC-D047DF05AFF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C26-45AA-A6FC-D047DF05AFF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C26-45AA-A6FC-D047DF05AFF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C26-45AA-A6FC-D047DF05AFF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EC26-45AA-A6FC-D047DF05AFF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C26-45AA-A6FC-D047DF05AFF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I'!$J$42:$J$44</c:f>
              <c:strCache>
                <c:ptCount val="3"/>
                <c:pt idx="0">
                  <c:v>F (Fast Selling )</c:v>
                </c:pt>
                <c:pt idx="1">
                  <c:v>S (Slow Selling )</c:v>
                </c:pt>
                <c:pt idx="2">
                  <c:v>N (Non Moving)</c:v>
                </c:pt>
              </c:strCache>
            </c:strRef>
          </c:cat>
          <c:val>
            <c:numRef>
              <c:f>'Analysis I'!$L$42:$L$44</c:f>
              <c:numCache>
                <c:formatCode>0%</c:formatCode>
                <c:ptCount val="3"/>
                <c:pt idx="0">
                  <c:v>0.72632493483927019</c:v>
                </c:pt>
                <c:pt idx="1">
                  <c:v>0.21937445699391833</c:v>
                </c:pt>
                <c:pt idx="2">
                  <c:v>5.4300608166811468E-2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6-45AA-A6FC-D047DF05AF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Demand Variability Across Product Categories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 III'!$Z$2</c:f>
              <c:strCache>
                <c:ptCount val="1"/>
                <c:pt idx="0">
                  <c:v>Coefficient of Variation (CV)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FA1D8F2-152C-4B4C-907A-641CE4730D2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A62-40E6-B097-72717B70A0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BD597B-5C49-41A7-AB3E-9F3080FFBC0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A62-40E6-B097-72717B70A0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8A890EB-0C70-4B5D-BFBB-834E8A29A11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A62-40E6-B097-72717B70A0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6FF49D-2D02-4EFD-9ACB-733AF15DB8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A62-40E6-B097-72717B70A022}"/>
                </c:ext>
              </c:extLst>
            </c:dLbl>
            <c:dLbl>
              <c:idx val="4"/>
              <c:layout>
                <c:manualLayout>
                  <c:x val="0"/>
                  <c:y val="-3.4962965410064571E-2"/>
                </c:manualLayout>
              </c:layout>
              <c:tx>
                <c:rich>
                  <a:bodyPr/>
                  <a:lstStyle/>
                  <a:p>
                    <a:fld id="{A76BDD48-3A9F-4974-AD1D-6F661621D48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7A62-40E6-B097-72717B70A022}"/>
                </c:ext>
              </c:extLst>
            </c:dLbl>
            <c:dLbl>
              <c:idx val="5"/>
              <c:layout>
                <c:manualLayout>
                  <c:x val="-3.411764705882353E-2"/>
                  <c:y val="3.4962965410064654E-2"/>
                </c:manualLayout>
              </c:layout>
              <c:tx>
                <c:rich>
                  <a:bodyPr/>
                  <a:lstStyle/>
                  <a:p>
                    <a:fld id="{E05039E8-AA69-4A02-BA0A-57C9C477237C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7A62-40E6-B097-72717B70A0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AA5B68-A780-4F5A-8538-FF770D39B5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A62-40E6-B097-72717B70A0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7E92DBC-3609-4470-AD50-C8B6A445983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A62-40E6-B097-72717B70A0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980E34C-5D6F-4429-A534-A688409DAA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A62-40E6-B097-72717B70A0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6C43EC-377C-47D9-838D-9D7EAA24557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A62-40E6-B097-72717B70A0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BDDD444-BFC7-41BB-BC81-6C70C54DA41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A62-40E6-B097-72717B70A0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BB8A8E4-03EB-41AD-A07A-D3AA5CD69DE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A62-40E6-B097-72717B70A02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EB5C088-BAC0-4BEA-80F3-E2B517F39D9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A62-40E6-B097-72717B70A02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2D2E698-8C9F-4ACF-89D8-16D226C7C95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A62-40E6-B097-72717B70A0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'Analysis III'!$Y$3:$Y$16</c:f>
              <c:numCache>
                <c:formatCode>0.00</c:formatCode>
                <c:ptCount val="14"/>
                <c:pt idx="0">
                  <c:v>20.7</c:v>
                </c:pt>
                <c:pt idx="1">
                  <c:v>11.366666666666667</c:v>
                </c:pt>
                <c:pt idx="2">
                  <c:v>8.8333333333333339</c:v>
                </c:pt>
                <c:pt idx="3">
                  <c:v>8.5</c:v>
                </c:pt>
                <c:pt idx="4">
                  <c:v>6.333333333333333</c:v>
                </c:pt>
                <c:pt idx="5">
                  <c:v>6.1333333333333337</c:v>
                </c:pt>
                <c:pt idx="6">
                  <c:v>3.9666666666666668</c:v>
                </c:pt>
                <c:pt idx="7">
                  <c:v>3.7</c:v>
                </c:pt>
                <c:pt idx="8">
                  <c:v>3.0333333333333332</c:v>
                </c:pt>
                <c:pt idx="9">
                  <c:v>1.7666666666666666</c:v>
                </c:pt>
                <c:pt idx="10">
                  <c:v>0.76666666666666672</c:v>
                </c:pt>
                <c:pt idx="11">
                  <c:v>0.7</c:v>
                </c:pt>
                <c:pt idx="12">
                  <c:v>0.5</c:v>
                </c:pt>
                <c:pt idx="13">
                  <c:v>0.43333333333333335</c:v>
                </c:pt>
              </c:numCache>
            </c:numRef>
          </c:xVal>
          <c:yVal>
            <c:numRef>
              <c:f>'Analysis III'!$Z$3:$Z$16</c:f>
              <c:numCache>
                <c:formatCode>0.0000</c:formatCode>
                <c:ptCount val="14"/>
                <c:pt idx="0">
                  <c:v>1.4753689625240733</c:v>
                </c:pt>
                <c:pt idx="1">
                  <c:v>0.95914975148226955</c:v>
                </c:pt>
                <c:pt idx="2">
                  <c:v>1.2828944790251571</c:v>
                </c:pt>
                <c:pt idx="3">
                  <c:v>1.109987632833068</c:v>
                </c:pt>
                <c:pt idx="4">
                  <c:v>1.2176465417282114</c:v>
                </c:pt>
                <c:pt idx="5">
                  <c:v>1.2009728961424386</c:v>
                </c:pt>
                <c:pt idx="6">
                  <c:v>1.9170679625443092</c:v>
                </c:pt>
                <c:pt idx="7">
                  <c:v>2.4341404379256342</c:v>
                </c:pt>
                <c:pt idx="8">
                  <c:v>1.490719744287351</c:v>
                </c:pt>
                <c:pt idx="9">
                  <c:v>2.3109190627268648</c:v>
                </c:pt>
                <c:pt idx="10">
                  <c:v>2.1027327242707412</c:v>
                </c:pt>
                <c:pt idx="11">
                  <c:v>1.76565083502301</c:v>
                </c:pt>
                <c:pt idx="12">
                  <c:v>4.4178322036164239</c:v>
                </c:pt>
                <c:pt idx="13">
                  <c:v>2.475342593441797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'Analysis III'!$X$3:$X$16</c15:f>
                <c15:dlblRangeCache>
                  <c:ptCount val="14"/>
                  <c:pt idx="0">
                    <c:v>Anti-microbial</c:v>
                  </c:pt>
                  <c:pt idx="1">
                    <c:v>Skincare</c:v>
                  </c:pt>
                  <c:pt idx="2">
                    <c:v>Pain Relief</c:v>
                  </c:pt>
                  <c:pt idx="3">
                    <c:v>Vitamins/Minerals</c:v>
                  </c:pt>
                  <c:pt idx="4">
                    <c:v>Cardiovascular</c:v>
                  </c:pt>
                  <c:pt idx="5">
                    <c:v>Body Care</c:v>
                  </c:pt>
                  <c:pt idx="6">
                    <c:v>Gastro Tabs</c:v>
                  </c:pt>
                  <c:pt idx="7">
                    <c:v>Respiratory</c:v>
                  </c:pt>
                  <c:pt idx="8">
                    <c:v>Diabetes</c:v>
                  </c:pt>
                  <c:pt idx="9">
                    <c:v>Cold/Cough</c:v>
                  </c:pt>
                  <c:pt idx="10">
                    <c:v>First Aid</c:v>
                  </c:pt>
                  <c:pt idx="11">
                    <c:v>Sunscreen</c:v>
                  </c:pt>
                  <c:pt idx="12">
                    <c:v>Immunosuppressant</c:v>
                  </c:pt>
                  <c:pt idx="13">
                    <c:v>Baby Care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A62-40E6-B097-72717B70A0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72958511"/>
        <c:axId val="672960431"/>
      </c:scatterChart>
      <c:valAx>
        <c:axId val="67295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Average Daily Demand (Units)</a:t>
                </a:r>
                <a:endParaRPr lang="en-IN" sz="11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60431"/>
        <c:crosses val="autoZero"/>
        <c:crossBetween val="midCat"/>
      </c:valAx>
      <c:valAx>
        <c:axId val="6729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Coefficient of Variation (CV)</a:t>
                </a:r>
                <a:endParaRPr lang="en-IN" sz="11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5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DATASET.xlsx]Categorical Sales Value!PivotTable7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BF95DF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62C4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C72909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2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66CC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100AF6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chemeClr val="tx1">
              <a:lumMod val="75000"/>
              <a:lumOff val="2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5B718F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chemeClr val="accent4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006600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rgbClr val="660066"/>
          </a:solidFill>
          <a:ln>
            <a:solidFill>
              <a:schemeClr val="tx1"/>
            </a:solidFill>
          </a:ln>
          <a:effectLst/>
        </c:spPr>
      </c:pivotFmt>
      <c:pivotFmt>
        <c:idx val="14"/>
        <c:spPr>
          <a:solidFill>
            <a:srgbClr val="4C2E1A"/>
          </a:solidFill>
          <a:ln>
            <a:solidFill>
              <a:schemeClr val="tx1"/>
            </a:solidFill>
          </a:ln>
          <a:effectLst/>
        </c:spPr>
      </c:pivotFmt>
      <c:pivotFmt>
        <c:idx val="15"/>
        <c:spPr>
          <a:solidFill>
            <a:srgbClr val="FF8989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Sales Value'!$R$5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72909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62-4C4F-B32A-B9BF22885F5E}"/>
              </c:ext>
            </c:extLst>
          </c:dPt>
          <c:dPt>
            <c:idx val="1"/>
            <c:invertIfNegative val="0"/>
            <c:bubble3D val="0"/>
            <c:spPr>
              <a:solidFill>
                <a:srgbClr val="BF95DF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62-4C4F-B32A-B9BF22885F5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2-4C4F-B32A-B9BF22885F5E}"/>
              </c:ext>
            </c:extLst>
          </c:dPt>
          <c:dPt>
            <c:idx val="3"/>
            <c:invertIfNegative val="0"/>
            <c:bubble3D val="0"/>
            <c:spPr>
              <a:solidFill>
                <a:srgbClr val="62C4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2-4C4F-B32A-B9BF22885F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2-4C4F-B32A-B9BF22885F5E}"/>
              </c:ext>
            </c:extLst>
          </c:dPt>
          <c:dPt>
            <c:idx val="5"/>
            <c:invertIfNegative val="0"/>
            <c:bubble3D val="0"/>
            <c:spPr>
              <a:solidFill>
                <a:srgbClr val="FF66C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62-4C4F-B32A-B9BF22885F5E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2-4C4F-B32A-B9BF22885F5E}"/>
              </c:ext>
            </c:extLst>
          </c:dPt>
          <c:dPt>
            <c:idx val="7"/>
            <c:invertIfNegative val="0"/>
            <c:bubble3D val="0"/>
            <c:spPr>
              <a:solidFill>
                <a:srgbClr val="100AF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62-4C4F-B32A-B9BF22885F5E}"/>
              </c:ext>
            </c:extLst>
          </c:dPt>
          <c:dPt>
            <c:idx val="8"/>
            <c:invertIfNegative val="0"/>
            <c:bubble3D val="0"/>
            <c:spPr>
              <a:solidFill>
                <a:srgbClr val="5B718F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6D62-4C4F-B32A-B9BF22885F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62-4C4F-B32A-B9BF22885F5E}"/>
              </c:ext>
            </c:extLst>
          </c:dPt>
          <c:dPt>
            <c:idx val="10"/>
            <c:invertIfNegative val="0"/>
            <c:bubble3D val="0"/>
            <c:spPr>
              <a:solidFill>
                <a:srgbClr val="0066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6D62-4C4F-B32A-B9BF22885F5E}"/>
              </c:ext>
            </c:extLst>
          </c:dPt>
          <c:dPt>
            <c:idx val="11"/>
            <c:invertIfNegative val="0"/>
            <c:bubble3D val="0"/>
            <c:spPr>
              <a:solidFill>
                <a:srgbClr val="660066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D62-4C4F-B32A-B9BF22885F5E}"/>
              </c:ext>
            </c:extLst>
          </c:dPt>
          <c:dPt>
            <c:idx val="12"/>
            <c:invertIfNegative val="0"/>
            <c:bubble3D val="0"/>
            <c:spPr>
              <a:solidFill>
                <a:srgbClr val="4C2E1A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6D62-4C4F-B32A-B9BF22885F5E}"/>
              </c:ext>
            </c:extLst>
          </c:dPt>
          <c:dPt>
            <c:idx val="13"/>
            <c:invertIfNegative val="0"/>
            <c:bubble3D val="0"/>
            <c:spPr>
              <a:solidFill>
                <a:srgbClr val="FF8989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D62-4C4F-B32A-B9BF22885F5E}"/>
              </c:ext>
            </c:extLst>
          </c:dPt>
          <c:cat>
            <c:strRef>
              <c:f>'Categorical Sales Value'!$Q$6:$Q$21</c:f>
              <c:strCache>
                <c:ptCount val="15"/>
                <c:pt idx="0">
                  <c:v>Anti-microbial</c:v>
                </c:pt>
                <c:pt idx="1">
                  <c:v>Baby Care</c:v>
                </c:pt>
                <c:pt idx="2">
                  <c:v>Body Care</c:v>
                </c:pt>
                <c:pt idx="3">
                  <c:v>Cardiovascular</c:v>
                </c:pt>
                <c:pt idx="4">
                  <c:v>Cold/Cough</c:v>
                </c:pt>
                <c:pt idx="5">
                  <c:v>Diabetes</c:v>
                </c:pt>
                <c:pt idx="6">
                  <c:v>First Aid</c:v>
                </c:pt>
                <c:pt idx="7">
                  <c:v>Gastro Tabs</c:v>
                </c:pt>
                <c:pt idx="8">
                  <c:v>Immunosuppressant</c:v>
                </c:pt>
                <c:pt idx="9">
                  <c:v>Pain Relief</c:v>
                </c:pt>
                <c:pt idx="10">
                  <c:v>Respiratory</c:v>
                </c:pt>
                <c:pt idx="11">
                  <c:v>Skincare</c:v>
                </c:pt>
                <c:pt idx="12">
                  <c:v>Sunscreen</c:v>
                </c:pt>
                <c:pt idx="13">
                  <c:v>Vitamins/Minerals</c:v>
                </c:pt>
                <c:pt idx="14">
                  <c:v>(blank)</c:v>
                </c:pt>
              </c:strCache>
            </c:strRef>
          </c:cat>
          <c:val>
            <c:numRef>
              <c:f>'Categorical Sales Value'!$R$6:$R$21</c:f>
              <c:numCache>
                <c:formatCode>General</c:formatCode>
                <c:ptCount val="15"/>
                <c:pt idx="0">
                  <c:v>621</c:v>
                </c:pt>
                <c:pt idx="1">
                  <c:v>13</c:v>
                </c:pt>
                <c:pt idx="2">
                  <c:v>184</c:v>
                </c:pt>
                <c:pt idx="3">
                  <c:v>190</c:v>
                </c:pt>
                <c:pt idx="4">
                  <c:v>53</c:v>
                </c:pt>
                <c:pt idx="5">
                  <c:v>91</c:v>
                </c:pt>
                <c:pt idx="6">
                  <c:v>23</c:v>
                </c:pt>
                <c:pt idx="7">
                  <c:v>119</c:v>
                </c:pt>
                <c:pt idx="8">
                  <c:v>15</c:v>
                </c:pt>
                <c:pt idx="9">
                  <c:v>265</c:v>
                </c:pt>
                <c:pt idx="10">
                  <c:v>111</c:v>
                </c:pt>
                <c:pt idx="11">
                  <c:v>341</c:v>
                </c:pt>
                <c:pt idx="12">
                  <c:v>21</c:v>
                </c:pt>
                <c:pt idx="13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2-4C4F-B32A-B9BF22885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166496"/>
        <c:axId val="818159776"/>
      </c:barChart>
      <c:catAx>
        <c:axId val="81816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 of Medicines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59776"/>
        <c:crosses val="autoZero"/>
        <c:auto val="1"/>
        <c:lblAlgn val="ctr"/>
        <c:lblOffset val="100"/>
        <c:noMultiLvlLbl val="0"/>
      </c:catAx>
      <c:valAx>
        <c:axId val="81815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Sold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16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DATASET.xlsx]Categorical Sales Value!PivotTable5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Revenue Contribution Across Medicine Categories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56B03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5FE53B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CCFF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CC99FF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4DF591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7030A0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FFC000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FF8989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rgbClr val="A86ED4"/>
          </a:solidFill>
          <a:ln>
            <a:solidFill>
              <a:schemeClr val="tx1"/>
            </a:solidFill>
          </a:ln>
          <a:effectLst/>
        </c:spPr>
      </c:pivotFmt>
      <c:pivotFmt>
        <c:idx val="14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Sales Value'!$B$3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56B03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5E-4826-A658-34B77464167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55E-4826-A658-34B774641677}"/>
              </c:ext>
            </c:extLst>
          </c:dPt>
          <c:dPt>
            <c:idx val="2"/>
            <c:invertIfNegative val="0"/>
            <c:bubble3D val="0"/>
            <c:spPr>
              <a:solidFill>
                <a:srgbClr val="5FE53B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5E-4826-A658-34B774641677}"/>
              </c:ext>
            </c:extLst>
          </c:dPt>
          <c:dPt>
            <c:idx val="3"/>
            <c:invertIfNegative val="0"/>
            <c:bubble3D val="0"/>
            <c:spPr>
              <a:solidFill>
                <a:srgbClr val="A86ED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55E-4826-A658-34B774641677}"/>
              </c:ext>
            </c:extLst>
          </c:dPt>
          <c:dPt>
            <c:idx val="4"/>
            <c:invertIfNegative val="0"/>
            <c:bubble3D val="0"/>
            <c:spPr>
              <a:solidFill>
                <a:srgbClr val="FF8989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55E-4826-A658-34B774641677}"/>
              </c:ext>
            </c:extLst>
          </c:dPt>
          <c:dPt>
            <c:idx val="5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55E-4826-A658-34B774641677}"/>
              </c:ext>
            </c:extLst>
          </c:dPt>
          <c:dPt>
            <c:idx val="6"/>
            <c:invertIfNegative val="0"/>
            <c:bubble3D val="0"/>
            <c:spPr>
              <a:solidFill>
                <a:srgbClr val="7030A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55E-4826-A658-34B774641677}"/>
              </c:ext>
            </c:extLst>
          </c:dPt>
          <c:dPt>
            <c:idx val="7"/>
            <c:invertIfNegative val="0"/>
            <c:bubble3D val="0"/>
            <c:spPr>
              <a:solidFill>
                <a:srgbClr val="4DF5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55E-4826-A658-34B774641677}"/>
              </c:ext>
            </c:extLst>
          </c:dPt>
          <c:dPt>
            <c:idx val="8"/>
            <c:invertIfNegative val="0"/>
            <c:bubble3D val="0"/>
            <c:spPr>
              <a:solidFill>
                <a:srgbClr val="CC99FF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5E-4826-A658-34B77464167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5E-4826-A658-34B77464167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55E-4826-A658-34B774641677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5E-4826-A658-34B774641677}"/>
              </c:ext>
            </c:extLst>
          </c:dPt>
          <c:dPt>
            <c:idx val="12"/>
            <c:invertIfNegative val="0"/>
            <c:bubble3D val="0"/>
            <c:spPr>
              <a:solidFill>
                <a:srgbClr val="FFCCFF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5E-4826-A658-34B77464167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55E-4826-A658-34B774641677}"/>
              </c:ext>
            </c:extLst>
          </c:dPt>
          <c:cat>
            <c:strRef>
              <c:f>'Categorical Sales Value'!$A$4:$A$18</c:f>
              <c:strCache>
                <c:ptCount val="14"/>
                <c:pt idx="0">
                  <c:v>Anti-microbial</c:v>
                </c:pt>
                <c:pt idx="1">
                  <c:v>Baby Care</c:v>
                </c:pt>
                <c:pt idx="2">
                  <c:v>Body Care</c:v>
                </c:pt>
                <c:pt idx="3">
                  <c:v>Cardiovascular</c:v>
                </c:pt>
                <c:pt idx="4">
                  <c:v>Cold/Cough</c:v>
                </c:pt>
                <c:pt idx="5">
                  <c:v>Diabetes</c:v>
                </c:pt>
                <c:pt idx="6">
                  <c:v>First Aid</c:v>
                </c:pt>
                <c:pt idx="7">
                  <c:v>Gastro Tabs</c:v>
                </c:pt>
                <c:pt idx="8">
                  <c:v>Immunosuppressant</c:v>
                </c:pt>
                <c:pt idx="9">
                  <c:v>Pain Relief</c:v>
                </c:pt>
                <c:pt idx="10">
                  <c:v>Respiratory</c:v>
                </c:pt>
                <c:pt idx="11">
                  <c:v>Skincare</c:v>
                </c:pt>
                <c:pt idx="12">
                  <c:v>Sunscreen</c:v>
                </c:pt>
                <c:pt idx="13">
                  <c:v>Vitamins/Minerals</c:v>
                </c:pt>
              </c:strCache>
            </c:strRef>
          </c:cat>
          <c:val>
            <c:numRef>
              <c:f>'Categorical Sales Value'!$B$4:$B$18</c:f>
              <c:numCache>
                <c:formatCode>"₹"\ #,##0.00</c:formatCode>
                <c:ptCount val="14"/>
                <c:pt idx="0">
                  <c:v>87656.090000000026</c:v>
                </c:pt>
                <c:pt idx="1">
                  <c:v>2858.1099999999997</c:v>
                </c:pt>
                <c:pt idx="2">
                  <c:v>68741.590000000011</c:v>
                </c:pt>
                <c:pt idx="3">
                  <c:v>20768.130000000005</c:v>
                </c:pt>
                <c:pt idx="4">
                  <c:v>7530.95</c:v>
                </c:pt>
                <c:pt idx="5">
                  <c:v>12331.55</c:v>
                </c:pt>
                <c:pt idx="6">
                  <c:v>3158.1600000000003</c:v>
                </c:pt>
                <c:pt idx="7">
                  <c:v>11714.390000000001</c:v>
                </c:pt>
                <c:pt idx="8">
                  <c:v>1722.8200000000002</c:v>
                </c:pt>
                <c:pt idx="9">
                  <c:v>25688.449999999997</c:v>
                </c:pt>
                <c:pt idx="10">
                  <c:v>11057.119999999999</c:v>
                </c:pt>
                <c:pt idx="11">
                  <c:v>130075.74999999999</c:v>
                </c:pt>
                <c:pt idx="12">
                  <c:v>13624.100000000002</c:v>
                </c:pt>
                <c:pt idx="13">
                  <c:v>27297.650000000009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E-4826-A658-34B774641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374767"/>
        <c:axId val="1555375727"/>
      </c:barChart>
      <c:catAx>
        <c:axId val="155537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Category of Medicines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75727"/>
        <c:crosses val="autoZero"/>
        <c:auto val="1"/>
        <c:lblAlgn val="ctr"/>
        <c:lblOffset val="100"/>
        <c:noMultiLvlLbl val="0"/>
      </c:catAx>
      <c:valAx>
        <c:axId val="155537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Revenue</a:t>
                </a:r>
                <a:r>
                  <a:rPr lang="en-IN" sz="105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Generated by the Category</a:t>
                </a:r>
                <a:endParaRPr lang="en-IN" sz="105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37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DATASET.xlsx]Daily Revenue analysis 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Profit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'Daily Revenue analysis 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'Daily Revenue analysis '!$D$4:$D$34</c:f>
              <c:strCache>
                <c:ptCount val="30"/>
                <c:pt idx="0">
                  <c:v>01-10-2025</c:v>
                </c:pt>
                <c:pt idx="1">
                  <c:v>02-10-2025</c:v>
                </c:pt>
                <c:pt idx="2">
                  <c:v>03-10-2025</c:v>
                </c:pt>
                <c:pt idx="3">
                  <c:v>04-10-2025</c:v>
                </c:pt>
                <c:pt idx="4">
                  <c:v>05-10-2025</c:v>
                </c:pt>
                <c:pt idx="5">
                  <c:v>06-10-2025</c:v>
                </c:pt>
                <c:pt idx="6">
                  <c:v>07-10-2025</c:v>
                </c:pt>
                <c:pt idx="7">
                  <c:v>08-10-2025</c:v>
                </c:pt>
                <c:pt idx="8">
                  <c:v>09-10-2025</c:v>
                </c:pt>
                <c:pt idx="9">
                  <c:v>10-10-2025</c:v>
                </c:pt>
                <c:pt idx="10">
                  <c:v>11-10-2025</c:v>
                </c:pt>
                <c:pt idx="11">
                  <c:v>12-10-2025</c:v>
                </c:pt>
                <c:pt idx="12">
                  <c:v>13-10-2025</c:v>
                </c:pt>
                <c:pt idx="13">
                  <c:v>14-10-2025</c:v>
                </c:pt>
                <c:pt idx="14">
                  <c:v>15-10-2025</c:v>
                </c:pt>
                <c:pt idx="15">
                  <c:v>16-10-2025</c:v>
                </c:pt>
                <c:pt idx="16">
                  <c:v>17-10-2025</c:v>
                </c:pt>
                <c:pt idx="17">
                  <c:v>18-10-2025</c:v>
                </c:pt>
                <c:pt idx="18">
                  <c:v>19-10-2025</c:v>
                </c:pt>
                <c:pt idx="19">
                  <c:v>20-10-2025</c:v>
                </c:pt>
                <c:pt idx="20">
                  <c:v>21-10-2025</c:v>
                </c:pt>
                <c:pt idx="21">
                  <c:v>22-10-2025</c:v>
                </c:pt>
                <c:pt idx="22">
                  <c:v>23-10-2025</c:v>
                </c:pt>
                <c:pt idx="23">
                  <c:v>24-10-2025</c:v>
                </c:pt>
                <c:pt idx="24">
                  <c:v>25-10-2025</c:v>
                </c:pt>
                <c:pt idx="25">
                  <c:v>26-10-2025</c:v>
                </c:pt>
                <c:pt idx="26">
                  <c:v>27-10-2025</c:v>
                </c:pt>
                <c:pt idx="27">
                  <c:v>28-10-2025</c:v>
                </c:pt>
                <c:pt idx="28">
                  <c:v>29-10-2025</c:v>
                </c:pt>
                <c:pt idx="29">
                  <c:v>30-10-2025</c:v>
                </c:pt>
              </c:strCache>
            </c:strRef>
          </c:cat>
          <c:val>
            <c:numRef>
              <c:f>'Daily Revenue analysis '!$E$4:$E$34</c:f>
              <c:numCache>
                <c:formatCode>"₹"\ #,##0.00</c:formatCode>
                <c:ptCount val="30"/>
                <c:pt idx="0">
                  <c:v>1397.01090909091</c:v>
                </c:pt>
                <c:pt idx="1">
                  <c:v>1654.6527272727287</c:v>
                </c:pt>
                <c:pt idx="2">
                  <c:v>1852.9018181818199</c:v>
                </c:pt>
                <c:pt idx="3">
                  <c:v>711.822727272728</c:v>
                </c:pt>
                <c:pt idx="4">
                  <c:v>682.22636363636411</c:v>
                </c:pt>
                <c:pt idx="5">
                  <c:v>1538.289090909092</c:v>
                </c:pt>
                <c:pt idx="6">
                  <c:v>529.21454545454594</c:v>
                </c:pt>
                <c:pt idx="7">
                  <c:v>1787.9890909090925</c:v>
                </c:pt>
                <c:pt idx="8">
                  <c:v>1073.1436363636376</c:v>
                </c:pt>
                <c:pt idx="9">
                  <c:v>919.36909090909148</c:v>
                </c:pt>
                <c:pt idx="10">
                  <c:v>553.81545454545494</c:v>
                </c:pt>
                <c:pt idx="11">
                  <c:v>655.37272727272762</c:v>
                </c:pt>
                <c:pt idx="12">
                  <c:v>879.53181818181884</c:v>
                </c:pt>
                <c:pt idx="13">
                  <c:v>679.17909090909131</c:v>
                </c:pt>
                <c:pt idx="14">
                  <c:v>342.72727272727298</c:v>
                </c:pt>
                <c:pt idx="15">
                  <c:v>3289.4636363636382</c:v>
                </c:pt>
                <c:pt idx="16">
                  <c:v>2581.9227272727298</c:v>
                </c:pt>
                <c:pt idx="17">
                  <c:v>1042.401818181819</c:v>
                </c:pt>
                <c:pt idx="18">
                  <c:v>820.2563636363642</c:v>
                </c:pt>
                <c:pt idx="19">
                  <c:v>464.06181818181852</c:v>
                </c:pt>
                <c:pt idx="20">
                  <c:v>1282.7890909090922</c:v>
                </c:pt>
                <c:pt idx="21">
                  <c:v>609.09909090909127</c:v>
                </c:pt>
                <c:pt idx="22">
                  <c:v>762.79000000000065</c:v>
                </c:pt>
                <c:pt idx="23">
                  <c:v>1375.2072727272734</c:v>
                </c:pt>
                <c:pt idx="24">
                  <c:v>896.3245454545463</c:v>
                </c:pt>
                <c:pt idx="25">
                  <c:v>881.10727272727354</c:v>
                </c:pt>
                <c:pt idx="26">
                  <c:v>1982.2127272727289</c:v>
                </c:pt>
                <c:pt idx="27">
                  <c:v>2640.3890909090933</c:v>
                </c:pt>
                <c:pt idx="28">
                  <c:v>750.99181818181887</c:v>
                </c:pt>
                <c:pt idx="29">
                  <c:v>1871.0881818181833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B-4F50-A4F8-E283E7F95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287407"/>
        <c:axId val="1555287887"/>
      </c:lineChart>
      <c:catAx>
        <c:axId val="155528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Purchase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87887"/>
        <c:crosses val="autoZero"/>
        <c:auto val="1"/>
        <c:lblAlgn val="ctr"/>
        <c:lblOffset val="100"/>
        <c:noMultiLvlLbl val="0"/>
      </c:catAx>
      <c:valAx>
        <c:axId val="155528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Generated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28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7-Day Moving Average of Daily Revenue – October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328929296810091"/>
          <c:y val="0.12383227501748702"/>
          <c:w val="0.84624403106405677"/>
          <c:h val="0.70230061105210817"/>
        </c:manualLayout>
      </c:layout>
      <c:lineChart>
        <c:grouping val="standard"/>
        <c:varyColors val="0"/>
        <c:ser>
          <c:idx val="0"/>
          <c:order val="0"/>
          <c:tx>
            <c:strRef>
              <c:f>'Daily Revenue analysis '!$Q$6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'Daily Revenue analysis '!$P$7:$P$30</c:f>
              <c:numCache>
                <c:formatCode>m/d/yyyy</c:formatCode>
                <c:ptCount val="24"/>
                <c:pt idx="0">
                  <c:v>45937</c:v>
                </c:pt>
                <c:pt idx="1">
                  <c:v>45938</c:v>
                </c:pt>
                <c:pt idx="2">
                  <c:v>45939</c:v>
                </c:pt>
                <c:pt idx="3">
                  <c:v>45940</c:v>
                </c:pt>
                <c:pt idx="4">
                  <c:v>45941</c:v>
                </c:pt>
                <c:pt idx="5">
                  <c:v>45942</c:v>
                </c:pt>
                <c:pt idx="6">
                  <c:v>45943</c:v>
                </c:pt>
                <c:pt idx="7">
                  <c:v>45944</c:v>
                </c:pt>
                <c:pt idx="8">
                  <c:v>45945</c:v>
                </c:pt>
                <c:pt idx="9">
                  <c:v>45946</c:v>
                </c:pt>
                <c:pt idx="10">
                  <c:v>45947</c:v>
                </c:pt>
                <c:pt idx="11">
                  <c:v>45948</c:v>
                </c:pt>
                <c:pt idx="12">
                  <c:v>45949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45955</c:v>
                </c:pt>
                <c:pt idx="19">
                  <c:v>45956</c:v>
                </c:pt>
                <c:pt idx="20">
                  <c:v>45957</c:v>
                </c:pt>
                <c:pt idx="21">
                  <c:v>45958</c:v>
                </c:pt>
                <c:pt idx="22">
                  <c:v>45959</c:v>
                </c:pt>
                <c:pt idx="23">
                  <c:v>45960</c:v>
                </c:pt>
              </c:numCache>
            </c:numRef>
          </c:cat>
          <c:val>
            <c:numRef>
              <c:f>'Daily Revenue analysis '!$Q$7:$Q$30</c:f>
              <c:numCache>
                <c:formatCode>"₹"\ #,##0.00</c:formatCode>
                <c:ptCount val="24"/>
                <c:pt idx="0">
                  <c:v>1195.1597402597413</c:v>
                </c:pt>
                <c:pt idx="1">
                  <c:v>1251.0137662337672</c:v>
                </c:pt>
                <c:pt idx="2">
                  <c:v>1167.94103896104</c:v>
                </c:pt>
                <c:pt idx="3">
                  <c:v>1034.5792207792217</c:v>
                </c:pt>
                <c:pt idx="4">
                  <c:v>1012.0067532467541</c:v>
                </c:pt>
                <c:pt idx="5">
                  <c:v>1008.1705194805203</c:v>
                </c:pt>
                <c:pt idx="6">
                  <c:v>914.06233766233834</c:v>
                </c:pt>
                <c:pt idx="7">
                  <c:v>935.4858441558448</c:v>
                </c:pt>
                <c:pt idx="8">
                  <c:v>729.01987012987058</c:v>
                </c:pt>
                <c:pt idx="9">
                  <c:v>1045.6370129870136</c:v>
                </c:pt>
                <c:pt idx="10">
                  <c:v>1283.1446753246762</c:v>
                </c:pt>
                <c:pt idx="11">
                  <c:v>1352.9427272727282</c:v>
                </c:pt>
                <c:pt idx="12">
                  <c:v>1376.4975324675336</c:v>
                </c:pt>
                <c:pt idx="13">
                  <c:v>1317.1446753246764</c:v>
                </c:pt>
                <c:pt idx="14">
                  <c:v>1403.3746753246764</c:v>
                </c:pt>
                <c:pt idx="15">
                  <c:v>1441.4277922077931</c:v>
                </c:pt>
                <c:pt idx="16">
                  <c:v>1080.4744155844164</c:v>
                </c:pt>
                <c:pt idx="17">
                  <c:v>908.08649350649432</c:v>
                </c:pt>
                <c:pt idx="18">
                  <c:v>887.21831168831238</c:v>
                </c:pt>
                <c:pt idx="19">
                  <c:v>895.9112987012993</c:v>
                </c:pt>
                <c:pt idx="20">
                  <c:v>1112.7900000000009</c:v>
                </c:pt>
                <c:pt idx="21">
                  <c:v>1306.7328571428582</c:v>
                </c:pt>
                <c:pt idx="22">
                  <c:v>1327.0032467532478</c:v>
                </c:pt>
                <c:pt idx="23">
                  <c:v>1485.3315584415598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8-4D5D-8498-CCA0D8C57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836783"/>
        <c:axId val="669838223"/>
      </c:lineChart>
      <c:dateAx>
        <c:axId val="669836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Date of Sale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38223"/>
        <c:crosses val="autoZero"/>
        <c:auto val="1"/>
        <c:lblOffset val="100"/>
        <c:baseTimeUnit val="days"/>
        <c:majorUnit val="1"/>
        <c:majorTimeUnit val="days"/>
      </c:dateAx>
      <c:valAx>
        <c:axId val="66983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7-Day Average Revenue 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3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PROJECT DATASET.xlsx]Expiry products Analysis!PivotTable13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2">
                    <a:lumMod val="10000"/>
                  </a:schemeClr>
                </a:solidFill>
              </a:rPr>
              <a:t>Category-Wise Loss Due to Expired Products</a:t>
            </a:r>
            <a:endParaRPr lang="en-IN">
              <a:solidFill>
                <a:schemeClr val="bg2">
                  <a:lumMod val="1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FF8989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3">
              <a:lumMod val="7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F66CC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00206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BF95DF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chemeClr val="accent2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'Expiry products Analysis'!$J$3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8989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9-4B2A-8AA4-47669F1DFC8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37-4608-A2D5-AE591F0E7AB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237-4608-A2D5-AE591F0E7AB4}"/>
              </c:ext>
            </c:extLst>
          </c:dPt>
          <c:dPt>
            <c:idx val="4"/>
            <c:invertIfNegative val="0"/>
            <c:bubble3D val="0"/>
            <c:spPr>
              <a:solidFill>
                <a:srgbClr val="FF66C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37-4608-A2D5-AE591F0E7AB4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237-4608-A2D5-AE591F0E7AB4}"/>
              </c:ext>
            </c:extLst>
          </c:dPt>
          <c:dPt>
            <c:idx val="6"/>
            <c:invertIfNegative val="0"/>
            <c:bubble3D val="0"/>
            <c:spPr>
              <a:solidFill>
                <a:srgbClr val="BF95DF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37-4608-A2D5-AE591F0E7AB4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237-4608-A2D5-AE591F0E7AB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237-4608-A2D5-AE591F0E7AB4}"/>
              </c:ext>
            </c:extLst>
          </c:dPt>
          <c:cat>
            <c:strRef>
              <c:f>'Expiry products Analysis'!$I$4:$I$14</c:f>
              <c:strCache>
                <c:ptCount val="10"/>
                <c:pt idx="0">
                  <c:v>Anti-microbial</c:v>
                </c:pt>
                <c:pt idx="1">
                  <c:v>Cardiovascular</c:v>
                </c:pt>
                <c:pt idx="2">
                  <c:v>Cold/Cough</c:v>
                </c:pt>
                <c:pt idx="3">
                  <c:v>Diabetes</c:v>
                </c:pt>
                <c:pt idx="4">
                  <c:v>Pain Relief</c:v>
                </c:pt>
                <c:pt idx="5">
                  <c:v>Skincare</c:v>
                </c:pt>
                <c:pt idx="6">
                  <c:v>Sunscreen</c:v>
                </c:pt>
                <c:pt idx="7">
                  <c:v>Vitamins/Minerals</c:v>
                </c:pt>
                <c:pt idx="8">
                  <c:v>Immunosuppresant </c:v>
                </c:pt>
                <c:pt idx="9">
                  <c:v>Gastro Tabs</c:v>
                </c:pt>
              </c:strCache>
            </c:strRef>
          </c:cat>
          <c:val>
            <c:numRef>
              <c:f>'Expiry products Analysis'!$J$4:$J$14</c:f>
              <c:numCache>
                <c:formatCode>_("₹"* #,##0.00_);_("₹"* \(#,##0.00\);_("₹"* "-"??_);_(@_)</c:formatCode>
                <c:ptCount val="10"/>
                <c:pt idx="0">
                  <c:v>4379.7</c:v>
                </c:pt>
                <c:pt idx="1">
                  <c:v>7096.3</c:v>
                </c:pt>
                <c:pt idx="2">
                  <c:v>2006.25</c:v>
                </c:pt>
                <c:pt idx="3">
                  <c:v>7284</c:v>
                </c:pt>
                <c:pt idx="4">
                  <c:v>11063.169999999998</c:v>
                </c:pt>
                <c:pt idx="5">
                  <c:v>11404.88</c:v>
                </c:pt>
                <c:pt idx="6">
                  <c:v>6800</c:v>
                </c:pt>
                <c:pt idx="7">
                  <c:v>4800</c:v>
                </c:pt>
                <c:pt idx="8">
                  <c:v>41434.28</c:v>
                </c:pt>
                <c:pt idx="9">
                  <c:v>1188.8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7-4608-A2D5-AE591F0E7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943344"/>
        <c:axId val="649941424"/>
      </c:barChart>
      <c:catAx>
        <c:axId val="6499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Category</a:t>
                </a:r>
                <a:r>
                  <a:rPr lang="en-IN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of Medicines</a:t>
                </a: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41424"/>
        <c:crosses val="autoZero"/>
        <c:auto val="1"/>
        <c:lblAlgn val="ctr"/>
        <c:lblOffset val="100"/>
        <c:noMultiLvlLbl val="0"/>
      </c:catAx>
      <c:valAx>
        <c:axId val="6499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Revenue Loss  in Rupees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4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Expiry Risk vs Revenue Contribution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'Expiry products Analysis'!$S$4</c:f>
              <c:strCache>
                <c:ptCount val="1"/>
                <c:pt idx="0">
                  <c:v>Revenue Generated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'Expiry products Analysis'!$R$5:$R$14</c:f>
              <c:strCache>
                <c:ptCount val="10"/>
                <c:pt idx="0">
                  <c:v>Anti-microbial</c:v>
                </c:pt>
                <c:pt idx="1">
                  <c:v>Cardiovascular</c:v>
                </c:pt>
                <c:pt idx="2">
                  <c:v>Cold/Cough</c:v>
                </c:pt>
                <c:pt idx="3">
                  <c:v>Diabetes</c:v>
                </c:pt>
                <c:pt idx="4">
                  <c:v>Pain Relief</c:v>
                </c:pt>
                <c:pt idx="5">
                  <c:v>Skincare</c:v>
                </c:pt>
                <c:pt idx="6">
                  <c:v>Sunscreen</c:v>
                </c:pt>
                <c:pt idx="7">
                  <c:v>Vitamins/Minerals</c:v>
                </c:pt>
                <c:pt idx="8">
                  <c:v>Immunosuppressant</c:v>
                </c:pt>
                <c:pt idx="9">
                  <c:v>Gastro Tabs</c:v>
                </c:pt>
              </c:strCache>
            </c:strRef>
          </c:cat>
          <c:val>
            <c:numRef>
              <c:f>'Expiry products Analysis'!$S$5:$S$14</c:f>
              <c:numCache>
                <c:formatCode>0.00</c:formatCode>
                <c:ptCount val="10"/>
                <c:pt idx="0">
                  <c:v>87656.090000000026</c:v>
                </c:pt>
                <c:pt idx="1">
                  <c:v>20768.130000000005</c:v>
                </c:pt>
                <c:pt idx="2">
                  <c:v>7530.95</c:v>
                </c:pt>
                <c:pt idx="3">
                  <c:v>12331.55</c:v>
                </c:pt>
                <c:pt idx="4">
                  <c:v>25688.449999999997</c:v>
                </c:pt>
                <c:pt idx="5">
                  <c:v>130075.74999999999</c:v>
                </c:pt>
                <c:pt idx="6">
                  <c:v>13624.100000000002</c:v>
                </c:pt>
                <c:pt idx="7">
                  <c:v>27297.650000000009</c:v>
                </c:pt>
                <c:pt idx="8">
                  <c:v>1722.8200000000002</c:v>
                </c:pt>
                <c:pt idx="9">
                  <c:v>11714.390000000001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6-4F5F-9E38-1C7E72773F6C}"/>
            </c:ext>
          </c:extLst>
        </c:ser>
        <c:ser>
          <c:idx val="1"/>
          <c:order val="1"/>
          <c:tx>
            <c:strRef>
              <c:f>'Expiry products Analysis'!$T$4</c:f>
              <c:strCache>
                <c:ptCount val="1"/>
                <c:pt idx="0">
                  <c:v>Loss Incurred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'Expiry products Analysis'!$R$5:$R$14</c:f>
              <c:strCache>
                <c:ptCount val="10"/>
                <c:pt idx="0">
                  <c:v>Anti-microbial</c:v>
                </c:pt>
                <c:pt idx="1">
                  <c:v>Cardiovascular</c:v>
                </c:pt>
                <c:pt idx="2">
                  <c:v>Cold/Cough</c:v>
                </c:pt>
                <c:pt idx="3">
                  <c:v>Diabetes</c:v>
                </c:pt>
                <c:pt idx="4">
                  <c:v>Pain Relief</c:v>
                </c:pt>
                <c:pt idx="5">
                  <c:v>Skincare</c:v>
                </c:pt>
                <c:pt idx="6">
                  <c:v>Sunscreen</c:v>
                </c:pt>
                <c:pt idx="7">
                  <c:v>Vitamins/Minerals</c:v>
                </c:pt>
                <c:pt idx="8">
                  <c:v>Immunosuppressant</c:v>
                </c:pt>
                <c:pt idx="9">
                  <c:v>Gastro Tabs</c:v>
                </c:pt>
              </c:strCache>
            </c:strRef>
          </c:cat>
          <c:val>
            <c:numRef>
              <c:f>'Expiry products Analysis'!$T$5:$T$14</c:f>
              <c:numCache>
                <c:formatCode>0.00</c:formatCode>
                <c:ptCount val="10"/>
                <c:pt idx="0">
                  <c:v>4379.7</c:v>
                </c:pt>
                <c:pt idx="1">
                  <c:v>7096.3</c:v>
                </c:pt>
                <c:pt idx="2">
                  <c:v>2006.25</c:v>
                </c:pt>
                <c:pt idx="3">
                  <c:v>7284</c:v>
                </c:pt>
                <c:pt idx="4">
                  <c:v>11063.169999999998</c:v>
                </c:pt>
                <c:pt idx="5">
                  <c:v>11404.88</c:v>
                </c:pt>
                <c:pt idx="6">
                  <c:v>6800</c:v>
                </c:pt>
                <c:pt idx="7">
                  <c:v>4800</c:v>
                </c:pt>
                <c:pt idx="8">
                  <c:v>41434.28</c:v>
                </c:pt>
                <c:pt idx="9">
                  <c:v>1188.8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6-4F5F-9E38-1C7E72773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980143"/>
        <c:axId val="966984463"/>
      </c:lineChart>
      <c:catAx>
        <c:axId val="966980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Categories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84463"/>
        <c:crosses val="autoZero"/>
        <c:auto val="1"/>
        <c:lblAlgn val="ctr"/>
        <c:lblOffset val="100"/>
        <c:noMultiLvlLbl val="0"/>
      </c:catAx>
      <c:valAx>
        <c:axId val="9669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Revenue Generated/ Loss Incurred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8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0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Pareto Analysis of Category-wise Profit Contribution</a:t>
            </a:r>
            <a:endParaRPr lang="en-US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6978BD61-01EE-405A-B1D2-413450F16F5A}" formatIdx="0">
          <cx:tx>
            <cx:txData>
              <cx:f>_xlchart.v1.1</cx:f>
              <cx:v>Profit</cx:v>
            </cx:txData>
          </cx:tx>
          <cx:spPr>
            <a:solidFill>
              <a:srgbClr val="D65D32"/>
            </a:solidFill>
          </cx:spPr>
          <cx:dataId val="0"/>
          <cx:layoutPr>
            <cx:aggregation/>
          </cx:layoutPr>
          <cx:axisId val="1"/>
        </cx:series>
        <cx:series layoutId="paretoLine" ownerIdx="0" uniqueId="{0AAFE365-D768-49BB-8ED3-3350FA32C6AC}" formatIdx="1">
          <cx:spPr>
            <a:ln>
              <a:solidFill>
                <a:schemeClr val="accent1">
                  <a:lumMod val="75000"/>
                </a:schemeClr>
              </a:solidFill>
            </a:ln>
          </cx:spPr>
          <cx:axisId val="2"/>
        </cx:series>
        <cx:series layoutId="clusteredColumn" hidden="1" uniqueId="{3973F35F-B3D7-4721-8990-D2DFEE03A6DD}" formatIdx="2">
          <cx:tx>
            <cx:txData>
              <cx:f>_xlchart.v1.3</cx:f>
              <cx:v>Cummulative  %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D24027D-323B-4D97-A469-3BAFEEF9FC29}" formatIdx="3">
          <cx:axisId val="2"/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Product Categories</a:t>
                </a:r>
                <a:endParaRPr lang="en-US" sz="900" b="1" i="0" u="none" strike="noStrike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tickLabels/>
        <cx:spPr>
          <a:ln>
            <a:solidFill>
              <a:schemeClr val="tx1">
                <a:lumMod val="95000"/>
                <a:lumOff val="5000"/>
              </a:schemeClr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Profit (₹)</a:t>
                </a:r>
                <a:endParaRPr lang="en-US" sz="900" b="1" i="0" u="none" strike="noStrike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rich>
          </cx:tx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2">
        <cx:valScaling max="1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b="1">
                    <a:solidFill>
                      <a:sysClr val="windowText" lastClr="000000"/>
                    </a:solidFill>
                  </a:rPr>
                  <a:t>Cumulative Profit Percentage (%)</a:t>
                </a:r>
                <a:endParaRPr lang="en-U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rich>
          </cx:tx>
        </cx:title>
        <cx:units unit="percentage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0"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share of total expiry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share of total expiry</a:t>
          </a:r>
        </a:p>
      </cx:txPr>
    </cx:title>
    <cx:plotArea>
      <cx:plotAreaRegion>
        <cx:series layoutId="treemap" uniqueId="{D03760B5-8C50-4724-B6E9-A84249BEEA22}">
          <cx:tx>
            <cx:txData>
              <cx:f>_xlchart.v1.6</cx:f>
              <cx:v>Quantity</cx:v>
            </cx:txData>
          </cx:tx>
          <cx:dataLabels pos="ctr">
            <cx:visibility seriesName="0" categoryName="1" value="1"/>
            <cx:separator>: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microsoft.com/office/2014/relationships/chartEx" Target="../charts/chartEx2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1262272</xdr:colOff>
      <xdr:row>53</xdr:row>
      <xdr:rowOff>64268</xdr:rowOff>
    </xdr:from>
    <xdr:to>
      <xdr:col>8</xdr:col>
      <xdr:colOff>311126</xdr:colOff>
      <xdr:row>74</xdr:row>
      <xdr:rowOff>133397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51693A-7306-2098-D04E-73524CFD3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159572</xdr:colOff>
      <xdr:row>25</xdr:row>
      <xdr:rowOff>46509</xdr:rowOff>
    </xdr:from>
    <xdr:to>
      <xdr:col>22</xdr:col>
      <xdr:colOff>503961</xdr:colOff>
      <xdr:row>51</xdr:row>
      <xdr:rowOff>139184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C7BCA4-B60B-FE7C-7D29-DF2FF6BFD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1109909</xdr:colOff>
      <xdr:row>49</xdr:row>
      <xdr:rowOff>74096</xdr:rowOff>
    </xdr:from>
    <xdr:to>
      <xdr:col>13</xdr:col>
      <xdr:colOff>2091524</xdr:colOff>
      <xdr:row>64</xdr:row>
      <xdr:rowOff>11002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1D8E3E-0F1F-CC99-980C-BD4CEB9B0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565639</xdr:colOff>
      <xdr:row>20</xdr:row>
      <xdr:rowOff>146538</xdr:rowOff>
    </xdr:from>
    <xdr:to>
      <xdr:col>26</xdr:col>
      <xdr:colOff>279275</xdr:colOff>
      <xdr:row>46</xdr:row>
      <xdr:rowOff>112113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39C464-243C-44FC-E432-43578CD53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103798</xdr:colOff>
      <xdr:row>10</xdr:row>
      <xdr:rowOff>146539</xdr:rowOff>
    </xdr:from>
    <xdr:to>
      <xdr:col>36</xdr:col>
      <xdr:colOff>415192</xdr:colOff>
      <xdr:row>10</xdr:row>
      <xdr:rowOff>378558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1C1BF92-DFE4-8273-FE19-7B5ED60DD62E}"/>
            </a:ext>
          </a:extLst>
        </xdr:cNvPr>
        <xdr:cNvSpPr/>
      </xdr:nvSpPr>
      <xdr:spPr>
        <a:xfrm>
          <a:off x="47857019" y="5507404"/>
          <a:ext cx="311394" cy="232019"/>
        </a:xfrm>
        <a:prstGeom prst="rect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109659</xdr:colOff>
      <xdr:row>11</xdr:row>
      <xdr:rowOff>121871</xdr:rowOff>
    </xdr:from>
    <xdr:to>
      <xdr:col>36</xdr:col>
      <xdr:colOff>421053</xdr:colOff>
      <xdr:row>11</xdr:row>
      <xdr:rowOff>353890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2406E2F-E774-47C6-8CE7-1905E007C627}"/>
            </a:ext>
          </a:extLst>
        </xdr:cNvPr>
        <xdr:cNvSpPr/>
      </xdr:nvSpPr>
      <xdr:spPr>
        <a:xfrm>
          <a:off x="47862880" y="5989515"/>
          <a:ext cx="311394" cy="232019"/>
        </a:xfrm>
        <a:prstGeom prst="rect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127732</xdr:colOff>
      <xdr:row>12</xdr:row>
      <xdr:rowOff>133838</xdr:rowOff>
    </xdr:from>
    <xdr:to>
      <xdr:col>36</xdr:col>
      <xdr:colOff>439126</xdr:colOff>
      <xdr:row>12</xdr:row>
      <xdr:rowOff>365857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D1402E8-E605-4FCE-B0D1-DA63308FA57F}"/>
            </a:ext>
          </a:extLst>
        </xdr:cNvPr>
        <xdr:cNvSpPr/>
      </xdr:nvSpPr>
      <xdr:spPr>
        <a:xfrm>
          <a:off x="47880953" y="6508261"/>
          <a:ext cx="311394" cy="232019"/>
        </a:xfrm>
        <a:prstGeom prst="rect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87548</xdr:colOff>
      <xdr:row>0</xdr:row>
      <xdr:rowOff>148291</xdr:rowOff>
    </xdr:from>
    <xdr:to>
      <xdr:col>32</xdr:col>
      <xdr:colOff>136072</xdr:colOff>
      <xdr:row>31</xdr:row>
      <xdr:rowOff>113393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216049-EB11-2147-2543-23A5E9CD1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164374</xdr:colOff>
      <xdr:row>3</xdr:row>
      <xdr:rowOff>109148</xdr:rowOff>
    </xdr:from>
    <xdr:to>
      <xdr:col>12</xdr:col>
      <xdr:colOff>1259546</xdr:colOff>
      <xdr:row>36</xdr:row>
      <xdr:rowOff>131372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21D3E2-3B59-74EE-588E-DA7DC805A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1407953</xdr:colOff>
      <xdr:row>33</xdr:row>
      <xdr:rowOff>137153</xdr:rowOff>
    </xdr:from>
    <xdr:to>
      <xdr:col>19</xdr:col>
      <xdr:colOff>115453</xdr:colOff>
      <xdr:row>58</xdr:row>
      <xdr:rowOff>36707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AC01E3-A94A-A554-C379-D4FAF9B2F7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60353" y="6214103"/>
              <a:ext cx="7127600" cy="45033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2220912</xdr:colOff>
      <xdr:row>27</xdr:row>
      <xdr:rowOff>29675</xdr:rowOff>
    </xdr:from>
    <xdr:to>
      <xdr:col>13</xdr:col>
      <xdr:colOff>505648</xdr:colOff>
      <xdr:row>51</xdr:row>
      <xdr:rowOff>50842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2E52E7-D960-5E1B-72AD-76EEFC068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967343</xdr:colOff>
      <xdr:row>0</xdr:row>
      <xdr:rowOff>10583</xdr:rowOff>
    </xdr:from>
    <xdr:to>
      <xdr:col>18</xdr:col>
      <xdr:colOff>190500</xdr:colOff>
      <xdr:row>30</xdr:row>
      <xdr:rowOff>33421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853BAD-E2E1-AD95-FE16-2EC06EFEA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284006</xdr:colOff>
      <xdr:row>24</xdr:row>
      <xdr:rowOff>11361</xdr:rowOff>
    </xdr:from>
    <xdr:to>
      <xdr:col>14</xdr:col>
      <xdr:colOff>332872</xdr:colOff>
      <xdr:row>43</xdr:row>
      <xdr:rowOff>159491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05C850-5B31-E98D-5612-1E3D71D6D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401226</xdr:colOff>
      <xdr:row>14</xdr:row>
      <xdr:rowOff>39779</xdr:rowOff>
    </xdr:from>
    <xdr:to>
      <xdr:col>7</xdr:col>
      <xdr:colOff>393350</xdr:colOff>
      <xdr:row>34</xdr:row>
      <xdr:rowOff>34055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792AD89-BE22-C15C-38DB-4C88DF666D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226" y="2617879"/>
              <a:ext cx="7828024" cy="3677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767969</xdr:colOff>
      <xdr:row>9</xdr:row>
      <xdr:rowOff>94227</xdr:rowOff>
    </xdr:from>
    <xdr:to>
      <xdr:col>22</xdr:col>
      <xdr:colOff>-1</xdr:colOff>
      <xdr:row>45</xdr:row>
      <xdr:rowOff>107224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A44FA3-4EE2-7046-C0BC-6FFCE14D9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dhi Shetty" refreshedDate="45968.973556828707" createdVersion="8" refreshedVersion="8" minRefreshableVersion="3" recordCount="583" xr:uid="{45D52F1A-F83B-455E-95E0-4F07CCDDB660}">
  <cacheSource type="worksheet">
    <worksheetSource ref="A1:K1048576" sheet="Cleaned data Sales"/>
  </cacheSource>
  <cacheFields count="11">
    <cacheField name="Serial No." numFmtId="0">
      <sharedItems containsString="0" containsBlank="1" containsNumber="1" containsInteger="1" minValue="1" maxValue="584"/>
    </cacheField>
    <cacheField name="Item Description" numFmtId="0">
      <sharedItems containsBlank="1"/>
    </cacheField>
    <cacheField name="Category " numFmtId="0">
      <sharedItems containsBlank="1" count="15">
        <s v="Skincare"/>
        <s v="Anti-microbial"/>
        <s v="Body Care"/>
        <s v="Cold/Cough"/>
        <s v="Gastro Tabs"/>
        <s v="Cardiovascular"/>
        <s v="Respiratory"/>
        <s v="Baby Care"/>
        <s v="Pain Relief"/>
        <s v="Diabetes"/>
        <s v="Sunscreen"/>
        <s v="Vitamins/Minerals"/>
        <s v="First Aid"/>
        <s v="Immunosuppressant"/>
        <m/>
      </sharedItems>
    </cacheField>
    <cacheField name="Quantity" numFmtId="0">
      <sharedItems containsString="0" containsBlank="1" containsNumber="1" containsInteger="1" minValue="1" maxValue="133"/>
    </cacheField>
    <cacheField name="Supplier" numFmtId="0">
      <sharedItems containsBlank="1"/>
    </cacheField>
    <cacheField name="Date of Purchase" numFmtId="0">
      <sharedItems containsNonDate="0" containsDate="1" containsString="0" containsBlank="1" minDate="2025-10-01T00:00:00" maxDate="2025-10-31T00:00:00" count="31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9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m/>
      </sharedItems>
    </cacheField>
    <cacheField name="Cost Price" numFmtId="0">
      <sharedItems containsString="0" containsBlank="1" containsNumber="1" minValue="4.545454545454545" maxValue="2330.2909090909088"/>
    </cacheField>
    <cacheField name="Selling Price" numFmtId="0">
      <sharedItems containsString="0" containsBlank="1" containsNumber="1" minValue="5" maxValue="2563.3200000000002"/>
    </cacheField>
    <cacheField name="Net Value" numFmtId="0">
      <sharedItems containsString="0" containsBlank="1" containsNumber="1" minValue="23.04" maxValue="12351"/>
    </cacheField>
    <cacheField name="Profit per product " numFmtId="0">
      <sharedItems containsString="0" containsBlank="1" containsNumber="1" minValue="0.45454545454545503" maxValue="233.02909090909134"/>
    </cacheField>
    <cacheField name="Total Profit" numFmtId="0">
      <sharedItems containsString="0" containsBlank="1" containsNumber="1" minValue="1.08" maxValue="951.545454545455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dhi Shetty" refreshedDate="45968.973557638892" createdVersion="8" refreshedVersion="8" minRefreshableVersion="3" recordCount="583" xr:uid="{596EC998-A214-4169-835D-AA2CBA49AF48}">
  <cacheSource type="worksheet">
    <worksheetSource ref="A1:J1048576" sheet="Cleaned data Sales"/>
  </cacheSource>
  <cacheFields count="10">
    <cacheField name="Serial No." numFmtId="0">
      <sharedItems containsString="0" containsBlank="1" containsNumber="1" containsInteger="1" minValue="1" maxValue="584"/>
    </cacheField>
    <cacheField name="Item Description" numFmtId="0">
      <sharedItems containsBlank="1"/>
    </cacheField>
    <cacheField name="Category " numFmtId="0">
      <sharedItems containsBlank="1" count="16">
        <s v="Skincare"/>
        <s v="Anti-microbial"/>
        <s v="Body Care"/>
        <s v="Cold/Cough"/>
        <s v="Gastro Tabs"/>
        <s v="Cardiovascular"/>
        <s v="Respiratory"/>
        <s v="Baby Care"/>
        <s v="Pain Relief"/>
        <s v="Diabetes"/>
        <s v="Sunscreen"/>
        <s v="Vitamins/Minerals"/>
        <s v="First Aid"/>
        <s v="Immunosuppressant"/>
        <m/>
        <s v="Hypertension" u="1"/>
      </sharedItems>
    </cacheField>
    <cacheField name="Quantity" numFmtId="0">
      <sharedItems containsString="0" containsBlank="1" containsNumber="1" containsInteger="1" minValue="1" maxValue="133"/>
    </cacheField>
    <cacheField name="Supplier" numFmtId="0">
      <sharedItems containsBlank="1"/>
    </cacheField>
    <cacheField name="Date of Purchase" numFmtId="0">
      <sharedItems containsNonDate="0" containsDate="1" containsString="0" containsBlank="1" minDate="2025-10-01T00:00:00" maxDate="2025-10-31T00:00:00"/>
    </cacheField>
    <cacheField name="Cost Price" numFmtId="0">
      <sharedItems containsString="0" containsBlank="1" containsNumber="1" minValue="4.545454545454545" maxValue="2330.2909090909088"/>
    </cacheField>
    <cacheField name="Selling Price" numFmtId="0">
      <sharedItems containsString="0" containsBlank="1" containsNumber="1" minValue="5" maxValue="2563.3200000000002"/>
    </cacheField>
    <cacheField name="Net Value" numFmtId="0">
      <sharedItems containsString="0" containsBlank="1" containsNumber="1" minValue="23.04" maxValue="12351"/>
    </cacheField>
    <cacheField name="Profit per product " numFmtId="0">
      <sharedItems containsString="0" containsBlank="1" containsNumber="1" minValue="0.45454545454545503" maxValue="233.029090909091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dhi Shetty" refreshedDate="45968.973833796299" createdVersion="8" refreshedVersion="8" minRefreshableVersion="3" recordCount="583" xr:uid="{2FC2D576-C154-4394-91D1-3ECF7E8DFD4A}">
  <cacheSource type="worksheet">
    <worksheetSource ref="B1:J1048576" sheet="Cleaned data Sales"/>
  </cacheSource>
  <cacheFields count="9">
    <cacheField name="Item Description" numFmtId="0">
      <sharedItems containsBlank="1"/>
    </cacheField>
    <cacheField name="Category " numFmtId="0">
      <sharedItems containsBlank="1"/>
    </cacheField>
    <cacheField name="Quantity" numFmtId="0">
      <sharedItems containsString="0" containsBlank="1" containsNumber="1" containsInteger="1" minValue="1" maxValue="133"/>
    </cacheField>
    <cacheField name="Supplier" numFmtId="0">
      <sharedItems containsBlank="1"/>
    </cacheField>
    <cacheField name="Date of Purchase" numFmtId="0">
      <sharedItems containsNonDate="0" containsDate="1" containsString="0" containsBlank="1" minDate="2025-10-01T00:00:00" maxDate="2025-10-31T00:00:00" count="31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9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m/>
      </sharedItems>
    </cacheField>
    <cacheField name="Cost Price" numFmtId="0">
      <sharedItems containsString="0" containsBlank="1" containsNumber="1" minValue="4.545454545454545" maxValue="2330.2909090909088"/>
    </cacheField>
    <cacheField name="Selling Price" numFmtId="0">
      <sharedItems containsString="0" containsBlank="1" containsNumber="1" minValue="5" maxValue="2563.3200000000002"/>
    </cacheField>
    <cacheField name="Net Value" numFmtId="0">
      <sharedItems containsString="0" containsBlank="1" containsNumber="1" minValue="23.04" maxValue="12351"/>
    </cacheField>
    <cacheField name="Profit per product " numFmtId="0">
      <sharedItems containsString="0" containsBlank="1" containsNumber="1" minValue="0.45454545454545503" maxValue="233.029090909091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dhi Shetty" refreshedDate="45969.151393287037" createdVersion="8" refreshedVersion="8" minRefreshableVersion="3" recordCount="45" xr:uid="{C04A9007-BADB-4ED1-854B-90A0D8F73AB6}">
  <cacheSource type="worksheet">
    <worksheetSource ref="B1:G46" sheet="Cleaned data Expiry"/>
  </cacheSource>
  <cacheFields count="6">
    <cacheField name="Item Description" numFmtId="0">
      <sharedItems/>
    </cacheField>
    <cacheField name="Category" numFmtId="0">
      <sharedItems count="12">
        <s v="Anti-microbial"/>
        <s v="Skincare"/>
        <s v="Immunosuppresant "/>
        <s v="Gastro Tabs"/>
        <s v="Cold/Cough"/>
        <s v="Sunscreen"/>
        <s v="Pain Relief"/>
        <s v="Vitamins/Minerals"/>
        <s v="Cardiovascular"/>
        <s v="Diabetes"/>
        <s v="Acidity/GI" u="1"/>
        <s v="Steroid" u="1"/>
      </sharedItems>
    </cacheField>
    <cacheField name="Quantity" numFmtId="0">
      <sharedItems containsSemiMixedTypes="0" containsString="0" containsNumber="1" containsInteger="1" minValue="5" maxValue="35"/>
    </cacheField>
    <cacheField name="Expiry Date" numFmtId="164">
      <sharedItems containsSemiMixedTypes="0" containsNonDate="0" containsDate="1" containsString="0" minDate="2015-08-01T00:00:00" maxDate="2026-01-02T00:00:00"/>
    </cacheField>
    <cacheField name="MRP" numFmtId="0">
      <sharedItems containsSemiMixedTypes="0" containsString="0" containsNumber="1" minValue="13.55" maxValue="850"/>
    </cacheField>
    <cacheField name="Total " numFmtId="0">
      <sharedItems containsSemiMixedTypes="0" containsString="0" containsNumber="1" minValue="135.5" maxValue="104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n v="1"/>
    <s v="Dermadew Aloe Plus"/>
    <x v="0"/>
    <n v="1"/>
    <s v="Ram Agencies"/>
    <x v="0"/>
    <n v="155.31818181818181"/>
    <n v="170.85"/>
    <n v="195.54"/>
    <n v="15.531818181818181"/>
    <n v="15.531818181818181"/>
  </r>
  <r>
    <n v="2"/>
    <s v="Triluma Cream"/>
    <x v="0"/>
    <n v="2"/>
    <s v="Ram Agencies"/>
    <x v="0"/>
    <n v="546.1"/>
    <n v="600.71"/>
    <n v="1223.6400000000001"/>
    <n v="54.610000000000014"/>
    <n v="109.22000000000003"/>
  </r>
  <r>
    <n v="3"/>
    <s v="Epilyno Lotion"/>
    <x v="0"/>
    <n v="2"/>
    <s v="Ram Agencies"/>
    <x v="0"/>
    <n v="323.58181818181816"/>
    <n v="355.94"/>
    <n v="814.82"/>
    <n v="32.358181818181833"/>
    <n v="64.716363636363667"/>
  </r>
  <r>
    <n v="4"/>
    <s v="Lulifin Cream"/>
    <x v="1"/>
    <n v="5"/>
    <s v="Ram Agencies"/>
    <x v="0"/>
    <n v="219.48181818181817"/>
    <n v="241.43"/>
    <n v="1229.48"/>
    <n v="21.948181818181837"/>
    <n v="109.74090909090918"/>
  </r>
  <r>
    <n v="5"/>
    <s v="Aziderm Plus Cream"/>
    <x v="0"/>
    <n v="3"/>
    <s v="Ram Agencies"/>
    <x v="0"/>
    <n v="225.97272727272724"/>
    <n v="248.57"/>
    <n v="759.5"/>
    <n v="22.597272727272752"/>
    <n v="67.791818181818257"/>
  </r>
  <r>
    <n v="6"/>
    <s v="Aquahance Moisture"/>
    <x v="0"/>
    <n v="1"/>
    <s v="Ram Agencies"/>
    <x v="0"/>
    <n v="169.49090909090907"/>
    <n v="186.44"/>
    <n v="220"/>
    <n v="16.949090909090927"/>
    <n v="16.949090909090927"/>
  </r>
  <r>
    <n v="7"/>
    <s v="Hhzole Cream"/>
    <x v="1"/>
    <n v="1"/>
    <s v="Ram Agencies"/>
    <x v="0"/>
    <n v="146.1"/>
    <n v="160.71"/>
    <n v="163.69"/>
    <n v="14.610000000000014"/>
    <n v="14.610000000000014"/>
  </r>
  <r>
    <n v="8"/>
    <s v="Hhsone Cream"/>
    <x v="1"/>
    <n v="3"/>
    <s v="Ram Agencies"/>
    <x v="0"/>
    <n v="135.71818181818179"/>
    <n v="149.29"/>
    <n v="456.15"/>
    <n v="13.571818181818202"/>
    <n v="40.715454545454605"/>
  </r>
  <r>
    <n v="9"/>
    <s v="Clonate Oint"/>
    <x v="1"/>
    <n v="5"/>
    <s v="Ram Agencies"/>
    <x v="0"/>
    <n v="123.37272727272727"/>
    <n v="135.71"/>
    <n v="691.09"/>
    <n v="12.337272727272733"/>
    <n v="61.686363636363666"/>
  </r>
  <r>
    <n v="10"/>
    <s v="Oflox-200 Tab"/>
    <x v="1"/>
    <n v="5"/>
    <s v="Ram Agencies"/>
    <x v="0"/>
    <n v="69.581818181818178"/>
    <n v="76.540000000000006"/>
    <n v="350.8"/>
    <n v="6.9581818181818278"/>
    <n v="34.790909090909139"/>
  </r>
  <r>
    <n v="11"/>
    <s v="Ketafung CT Solution"/>
    <x v="2"/>
    <n v="1"/>
    <s v="Ram Agencies"/>
    <x v="0"/>
    <n v="218.67272727272726"/>
    <n v="240.54"/>
    <n v="244.98"/>
    <n v="21.867272727272734"/>
    <n v="21.867272727272734"/>
  </r>
  <r>
    <n v="12"/>
    <s v="Strepsils Orange"/>
    <x v="3"/>
    <n v="1"/>
    <s v="Ram Agencies"/>
    <x v="0"/>
    <n v="572.72727272727263"/>
    <n v="630"/>
    <n v="661.5"/>
    <n v="57.272727272727366"/>
    <n v="57.272727272727366"/>
  </r>
  <r>
    <n v="13"/>
    <s v="Hhcepo CV 325 Tabs"/>
    <x v="1"/>
    <n v="10"/>
    <s v="Ram Agencies"/>
    <x v="0"/>
    <n v="217.5363636363636"/>
    <n v="239.29"/>
    <n v="2437.17"/>
    <n v="21.753636363636389"/>
    <n v="217.53636363636389"/>
  </r>
  <r>
    <n v="14"/>
    <s v="Clonate F Cream"/>
    <x v="1"/>
    <n v="3"/>
    <s v="Ram Agencies"/>
    <x v="0"/>
    <n v="142.20909090909092"/>
    <n v="156.43"/>
    <n v="477.97"/>
    <n v="14.220909090909089"/>
    <n v="42.662727272727267"/>
  </r>
  <r>
    <n v="15"/>
    <s v="Bandy Plus Tab"/>
    <x v="1"/>
    <n v="3"/>
    <s v="Ram Agencies"/>
    <x v="0"/>
    <n v="21.981818181818181"/>
    <n v="24.18"/>
    <n v="73.88"/>
    <n v="2.1981818181818191"/>
    <n v="6.5945454545454574"/>
  </r>
  <r>
    <n v="16"/>
    <s v="Bandy Plus Tab"/>
    <x v="1"/>
    <n v="6"/>
    <s v="Ram Agencies"/>
    <x v="0"/>
    <n v="21.981818181818181"/>
    <n v="24.18"/>
    <n v="147.77000000000001"/>
    <n v="2.1981818181818191"/>
    <n v="13.189090909090915"/>
  </r>
  <r>
    <n v="17"/>
    <s v="Sompraz D Tab"/>
    <x v="4"/>
    <n v="3"/>
    <s v="Ram Agencies"/>
    <x v="0"/>
    <n v="172.08181818181816"/>
    <n v="189.29"/>
    <n v="578.37"/>
    <n v="17.208181818181828"/>
    <n v="51.624545454545483"/>
  </r>
  <r>
    <n v="18"/>
    <s v="Azithral 500mg Tab"/>
    <x v="1"/>
    <n v="10"/>
    <s v="Ram Agencies"/>
    <x v="0"/>
    <n v="87.190909090909088"/>
    <n v="95.91"/>
    <n v="976.85"/>
    <n v="8.7190909090909088"/>
    <n v="87.190909090909088"/>
  </r>
  <r>
    <n v="19"/>
    <s v="Cyra -D Tabs"/>
    <x v="4"/>
    <n v="10"/>
    <s v="Ram Agencies"/>
    <x v="0"/>
    <n v="33.118181818181817"/>
    <n v="36.43"/>
    <n v="371.03"/>
    <n v="3.3118181818181824"/>
    <n v="33.118181818181824"/>
  </r>
  <r>
    <n v="20"/>
    <s v="Tazloc Am Tabs"/>
    <x v="5"/>
    <n v="10"/>
    <s v="Ram Agencies"/>
    <x v="0"/>
    <n v="104.13636363636363"/>
    <n v="114.55"/>
    <n v="1166.7"/>
    <n v="10.413636363636371"/>
    <n v="104.13636363636371"/>
  </r>
  <r>
    <n v="21"/>
    <s v="Mesacol Od Tabs"/>
    <x v="4"/>
    <n v="1"/>
    <s v="Ram Agencies"/>
    <x v="0"/>
    <n v="375.32727272727271"/>
    <n v="412.86"/>
    <n v="420.49"/>
    <n v="37.5327272727273"/>
    <n v="37.5327272727273"/>
  </r>
  <r>
    <n v="22"/>
    <s v="Propysalic NF6 Ointment"/>
    <x v="1"/>
    <n v="5"/>
    <s v="Ram Agencies"/>
    <x v="0"/>
    <n v="135.71818181818179"/>
    <n v="149.29"/>
    <n v="760.26"/>
    <n v="13.571818181818202"/>
    <n v="67.859090909091009"/>
  </r>
  <r>
    <n v="23"/>
    <s v="Concor Cor 2.5 Tabs"/>
    <x v="5"/>
    <n v="3"/>
    <s v="Ram Agencies"/>
    <x v="0"/>
    <n v="61.336363636363629"/>
    <n v="67.47"/>
    <n v="206.16"/>
    <n v="6.13363636363637"/>
    <n v="18.40090909090911"/>
  </r>
  <r>
    <n v="24"/>
    <s v="Clenz AC Topical Gel"/>
    <x v="0"/>
    <n v="3"/>
    <s v="Ram Agencies"/>
    <x v="0"/>
    <n v="340.90909090909088"/>
    <n v="375"/>
    <n v="1145.81"/>
    <n v="34.090909090909122"/>
    <n v="102.27272727272737"/>
  </r>
  <r>
    <n v="25"/>
    <s v="Lulifin Cream"/>
    <x v="1"/>
    <n v="2"/>
    <s v="Ram Agencies"/>
    <x v="1"/>
    <n v="194.15454545454543"/>
    <n v="213.57"/>
    <n v="435.05"/>
    <n v="19.415454545454566"/>
    <n v="38.830909090909131"/>
  </r>
  <r>
    <n v="26"/>
    <s v="Tedi Bar"/>
    <x v="0"/>
    <n v="2"/>
    <s v="Ram Agencies"/>
    <x v="1"/>
    <n v="241.59999999999997"/>
    <n v="265.76"/>
    <n v="608.37"/>
    <n v="24.160000000000025"/>
    <n v="48.32000000000005"/>
  </r>
  <r>
    <n v="27"/>
    <s v="Aquahance Moisture"/>
    <x v="0"/>
    <n v="2"/>
    <s v="Ram Agencies"/>
    <x v="1"/>
    <n v="169.49090909090907"/>
    <n v="186.44"/>
    <n v="379.77"/>
    <n v="16.949090909090927"/>
    <n v="33.898181818181854"/>
  </r>
  <r>
    <n v="28"/>
    <s v="Seroflo-250 Inhaler"/>
    <x v="6"/>
    <n v="1"/>
    <s v="Ram Agencies"/>
    <x v="1"/>
    <n v="633.58181818181822"/>
    <n v="696.94"/>
    <n v="709.83"/>
    <n v="63.358181818181833"/>
    <n v="63.358181818181833"/>
  </r>
  <r>
    <n v="29"/>
    <s v="RotaHaler"/>
    <x v="6"/>
    <n v="1"/>
    <s v="Ram Agencies"/>
    <x v="1"/>
    <n v="120.29090909090907"/>
    <n v="132.32"/>
    <n v="134.66"/>
    <n v="12.029090909090925"/>
    <n v="12.029090909090925"/>
  </r>
  <r>
    <n v="30"/>
    <s v="Dermadew Soap"/>
    <x v="0"/>
    <n v="3"/>
    <s v="Ram Agencies"/>
    <x v="1"/>
    <n v="135.59090909090909"/>
    <n v="149.15"/>
    <n v="455.73"/>
    <n v="13.559090909090912"/>
    <n v="40.677272727272737"/>
  </r>
  <r>
    <n v="31"/>
    <s v="Dermadew Baby Soap"/>
    <x v="7"/>
    <n v="2"/>
    <s v="Ram Agencies"/>
    <x v="1"/>
    <n v="154.08181818181816"/>
    <n v="169.49"/>
    <n v="345.25"/>
    <n v="15.408181818181845"/>
    <n v="30.81636363636369"/>
  </r>
  <r>
    <n v="32"/>
    <s v="Levolin Inhaler"/>
    <x v="6"/>
    <n v="1"/>
    <s v="Ram Agencies"/>
    <x v="1"/>
    <n v="183.46363636363634"/>
    <n v="201.81"/>
    <n v="205.54"/>
    <n v="18.346363636363662"/>
    <n v="18.346363636363662"/>
  </r>
  <r>
    <n v="33"/>
    <s v="Rega NP Serum"/>
    <x v="2"/>
    <n v="5"/>
    <s v="RSM Pharma"/>
    <x v="1"/>
    <n v="344.5272727272727"/>
    <n v="378.98"/>
    <n v="2168.89"/>
    <n v="34.452727272727316"/>
    <n v="172.26363636363658"/>
  </r>
  <r>
    <n v="34"/>
    <s v="Rega NP Serum"/>
    <x v="2"/>
    <n v="5"/>
    <s v="RSM Pharma"/>
    <x v="1"/>
    <n v="344.5272727272727"/>
    <n v="378.98"/>
    <n v="2168.89"/>
    <n v="34.452727272727316"/>
    <n v="172.26363636363658"/>
  </r>
  <r>
    <n v="35"/>
    <s v="ES Body Wash"/>
    <x v="0"/>
    <n v="2"/>
    <s v="RSM Pharma"/>
    <x v="1"/>
    <n v="345.76363636363629"/>
    <n v="380.34"/>
    <n v="870.68"/>
    <n v="34.576363636363681"/>
    <n v="69.152727272727361"/>
  </r>
  <r>
    <n v="36"/>
    <s v="Gabapax NT 200MG Tab"/>
    <x v="8"/>
    <n v="2"/>
    <s v="RSM Pharma"/>
    <x v="1"/>
    <n v="212.85454545454542"/>
    <n v="234.14"/>
    <n v="476.95"/>
    <n v="21.28545454545457"/>
    <n v="42.57090909090914"/>
  </r>
  <r>
    <n v="37"/>
    <s v="Cilvoryl MV 2 Tab"/>
    <x v="9"/>
    <n v="4"/>
    <s v="RSM Pharma"/>
    <x v="1"/>
    <n v="198.29090909090908"/>
    <n v="218.12"/>
    <n v="888.63"/>
    <n v="19.829090909090922"/>
    <n v="79.31636363636369"/>
  </r>
  <r>
    <n v="38"/>
    <s v="Budamate 200 Transcaps"/>
    <x v="6"/>
    <n v="2"/>
    <s v="RSM Pharma"/>
    <x v="1"/>
    <n v="126.91818181818182"/>
    <n v="139.61000000000001"/>
    <n v="284.38"/>
    <n v="12.691818181818192"/>
    <n v="25.383636363636384"/>
  </r>
  <r>
    <n v="39"/>
    <s v="Rablet 20MG Tab 15'S"/>
    <x v="4"/>
    <n v="1"/>
    <s v="RSM Pharma"/>
    <x v="1"/>
    <n v="135.58181818181816"/>
    <n v="149.13999999999999"/>
    <n v="151.91"/>
    <n v="13.558181818181822"/>
    <n v="13.558181818181822"/>
  </r>
  <r>
    <n v="40"/>
    <s v="Acne UV Gel"/>
    <x v="10"/>
    <n v="1"/>
    <s v="RSM Pharma"/>
    <x v="1"/>
    <n v="600.92727272727268"/>
    <n v="661.02"/>
    <n v="756.61"/>
    <n v="60.092727272727302"/>
    <n v="60.092727272727302"/>
  </r>
  <r>
    <n v="41"/>
    <s v="Minoz Gel "/>
    <x v="0"/>
    <n v="3"/>
    <s v="RSM Pharma"/>
    <x v="1"/>
    <n v="275.97272727272724"/>
    <n v="303.57"/>
    <n v="927.55"/>
    <n v="27.597272727272752"/>
    <n v="82.791818181818257"/>
  </r>
  <r>
    <n v="42"/>
    <s v="Suncros Matt Finish Soft Gel"/>
    <x v="10"/>
    <n v="1"/>
    <s v="RSM Pharma"/>
    <x v="1"/>
    <n v="511.55454545454546"/>
    <n v="562.71"/>
    <n v="644.07000000000005"/>
    <n v="51.155454545454575"/>
    <n v="51.155454545454575"/>
  </r>
  <r>
    <n v="43"/>
    <s v="Allgiduo SUS"/>
    <x v="3"/>
    <n v="1"/>
    <s v="RSM Pharma"/>
    <x v="1"/>
    <n v="121.32727272727273"/>
    <n v="133.46"/>
    <n v="135.94"/>
    <n v="12.13272727272728"/>
    <n v="12.13272727272728"/>
  </r>
  <r>
    <n v="44"/>
    <s v="Tarich Lotion"/>
    <x v="0"/>
    <n v="2"/>
    <s v="RSM Pharma"/>
    <x v="1"/>
    <n v="418.83636363636361"/>
    <n v="460.72"/>
    <n v="938.5"/>
    <n v="41.883636363636413"/>
    <n v="83.767272727272825"/>
  </r>
  <r>
    <n v="45"/>
    <s v="LA Shield Max Sunscreen Lotion"/>
    <x v="10"/>
    <n v="1"/>
    <s v="RSM Pharma"/>
    <x v="1"/>
    <n v="563.94545454545448"/>
    <n v="620.34"/>
    <n v="710.05"/>
    <n v="56.39454545454555"/>
    <n v="56.39454545454555"/>
  </r>
  <r>
    <n v="46"/>
    <s v="Hydronic Lip Serum"/>
    <x v="0"/>
    <n v="2"/>
    <s v="RSM Pharma"/>
    <x v="1"/>
    <n v="159.62727272727273"/>
    <n v="175.59"/>
    <n v="357.68"/>
    <n v="15.962727272727278"/>
    <n v="31.925454545454556"/>
  </r>
  <r>
    <n v="47"/>
    <s v="Orofer XT Lab"/>
    <x v="11"/>
    <n v="3"/>
    <s v="RSM Pharma"/>
    <x v="1"/>
    <n v="220.13636363636363"/>
    <n v="242.15"/>
    <n v="739.9"/>
    <n v="22.01363636363638"/>
    <n v="66.040909090909139"/>
  </r>
  <r>
    <n v="48"/>
    <s v="Cilacar 5MG Tab"/>
    <x v="5"/>
    <n v="4"/>
    <s v="RSM Pharma"/>
    <x v="1"/>
    <n v="91.554545454545448"/>
    <n v="100.71"/>
    <n v="512.86"/>
    <n v="9.1554545454545462"/>
    <n v="36.621818181818185"/>
  </r>
  <r>
    <n v="49"/>
    <s v="Sitara 50MG Tab"/>
    <x v="1"/>
    <n v="5"/>
    <s v="RSM Pharma"/>
    <x v="1"/>
    <n v="70.618181818181824"/>
    <n v="77.680000000000007"/>
    <n v="237.35"/>
    <n v="7.0618181818181824"/>
    <n v="35.309090909090912"/>
  </r>
  <r>
    <n v="50"/>
    <s v="Calpsor C Oint"/>
    <x v="1"/>
    <n v="3"/>
    <s v="RSM Pharma"/>
    <x v="1"/>
    <n v="462.85454545454542"/>
    <n v="509.14"/>
    <n v="1555.68"/>
    <n v="46.28545454545457"/>
    <n v="138.85636363636371"/>
  </r>
  <r>
    <n v="51"/>
    <s v="Imol Plus Tab"/>
    <x v="8"/>
    <n v="20"/>
    <s v="RSM Pharma"/>
    <x v="1"/>
    <n v="15.390909090909089"/>
    <n v="16.93"/>
    <n v="344.86"/>
    <n v="1.5390909090909108"/>
    <n v="30.781818181818217"/>
  </r>
  <r>
    <n v="52"/>
    <s v="Deplatta A 150 Tab 15'S"/>
    <x v="5"/>
    <n v="2"/>
    <s v="RSM Pharma"/>
    <x v="1"/>
    <n v="70.845454545454544"/>
    <n v="77.930000000000007"/>
    <n v="158.74"/>
    <n v="7.0845454545454629"/>
    <n v="14.169090909090926"/>
  </r>
  <r>
    <n v="53"/>
    <s v="Aztor 10MG Tab 15'S"/>
    <x v="5"/>
    <n v="2"/>
    <s v="RSM Pharma"/>
    <x v="1"/>
    <n v="55.154545454545449"/>
    <n v="60.67"/>
    <n v="123.58"/>
    <n v="5.5154545454545527"/>
    <n v="11.030909090909105"/>
  </r>
  <r>
    <n v="54"/>
    <s v="Huminsulin (R) 40IU"/>
    <x v="9"/>
    <n v="1"/>
    <s v="RSM Pharma"/>
    <x v="1"/>
    <n v="126.54545454545452"/>
    <n v="139.19999999999999"/>
    <n v="143.24"/>
    <n v="12.65454545454547"/>
    <n v="12.65454545454547"/>
  </r>
  <r>
    <n v="55"/>
    <s v="Lacto Calamine (ALOE 115ml)"/>
    <x v="0"/>
    <n v="1"/>
    <s v="Mahaveer Medi Sales"/>
    <x v="1"/>
    <n v="178.28181818181818"/>
    <n v="196.11"/>
    <n v="231.41"/>
    <n v="17.828181818181832"/>
    <n v="17.828181818181832"/>
  </r>
  <r>
    <n v="56"/>
    <s v="Azee 500 Tabs "/>
    <x v="1"/>
    <n v="6"/>
    <s v="Mahaveer Medi Sales"/>
    <x v="1"/>
    <n v="87.190909090909088"/>
    <n v="95.91"/>
    <n v="488.42"/>
    <n v="8.7190909090909088"/>
    <n v="52.314545454545453"/>
  </r>
  <r>
    <n v="57"/>
    <s v="Lacto Calamine (ALOE -55ml)"/>
    <x v="0"/>
    <n v="1"/>
    <s v="Mahaveer Medi Sales"/>
    <x v="2"/>
    <n v="102.84545454545453"/>
    <n v="113.13"/>
    <n v="133.49"/>
    <n v="10.284545454545466"/>
    <n v="10.284545454545466"/>
  </r>
  <r>
    <n v="58"/>
    <s v="BuscoGast Tab"/>
    <x v="4"/>
    <n v="5"/>
    <s v="Mahaveer Medi Sales"/>
    <x v="2"/>
    <n v="30.272727272727266"/>
    <n v="33.299999999999997"/>
    <n v="169.58"/>
    <n v="3.0272727272727309"/>
    <n v="15.136363636363654"/>
  </r>
  <r>
    <n v="59"/>
    <s v="Sebum Clear N Gel"/>
    <x v="0"/>
    <n v="5"/>
    <s v="Mahaveer Medi Sales"/>
    <x v="2"/>
    <n v="220.78181818181818"/>
    <n v="242.86"/>
    <n v="1236.77"/>
    <n v="22.078181818181832"/>
    <n v="110.39090909090916"/>
  </r>
  <r>
    <n v="60"/>
    <s v="Clincitop Gel"/>
    <x v="0"/>
    <n v="1"/>
    <s v="Mahaveer Medi Sales"/>
    <x v="2"/>
    <n v="25.227272727272727"/>
    <n v="27.75"/>
    <n v="29.13"/>
    <n v="2.5227272727272734"/>
    <n v="2.5227272727272734"/>
  </r>
  <r>
    <n v="61"/>
    <s v="Sebamed Baby Cream Extra "/>
    <x v="7"/>
    <n v="2"/>
    <s v="Mahaveer Medi Sales"/>
    <x v="2"/>
    <n v="173.34545454545454"/>
    <n v="190.68"/>
    <n v="450"/>
    <n v="17.334545454545463"/>
    <n v="34.669090909090926"/>
  </r>
  <r>
    <n v="62"/>
    <s v="Zocon-200 mg Tab©"/>
    <x v="1"/>
    <n v="5"/>
    <s v="Mahaveer Medi Sales"/>
    <x v="2"/>
    <n v="51.663636363636357"/>
    <n v="56.83"/>
    <n v="289.41000000000003"/>
    <n v="5.1663636363636414"/>
    <n v="25.831818181818207"/>
  </r>
  <r>
    <n v="63"/>
    <s v="Hycort Cream"/>
    <x v="1"/>
    <n v="10"/>
    <s v="Avenues Pharma "/>
    <x v="2"/>
    <n v="119.09999999999998"/>
    <n v="131.01"/>
    <n v="1334.34"/>
    <n v="11.910000000000011"/>
    <n v="119.10000000000011"/>
  </r>
  <r>
    <n v="64"/>
    <s v="C-Facewash"/>
    <x v="0"/>
    <n v="12"/>
    <s v="Cosmonova Medicare "/>
    <x v="2"/>
    <n v="246.5363636363636"/>
    <n v="271.19"/>
    <n v="3200"/>
    <n v="24.653636363636394"/>
    <n v="295.84363636363673"/>
  </r>
  <r>
    <n v="65"/>
    <s v="Minfin NX 5% "/>
    <x v="2"/>
    <n v="5"/>
    <s v="Medline Distributors"/>
    <x v="2"/>
    <n v="616.88181818181818"/>
    <n v="678.57"/>
    <n v="3455.62"/>
    <n v="61.688181818181874"/>
    <n v="308.44090909090937"/>
  </r>
  <r>
    <n v="66"/>
    <s v="Minfin MAXX 5%"/>
    <x v="2"/>
    <n v="5"/>
    <s v="Medline Distributors"/>
    <x v="2"/>
    <n v="603.24545454545455"/>
    <n v="663.57"/>
    <n v="3379.23"/>
    <n v="60.3245454545455"/>
    <n v="301.6227272727275"/>
  </r>
  <r>
    <n v="67"/>
    <s v="Castor NF Cream "/>
    <x v="0"/>
    <n v="1"/>
    <s v="Mahaveer Medi Sales"/>
    <x v="2"/>
    <n v="32.727272727272727"/>
    <n v="36"/>
    <n v="37.799999999999997"/>
    <n v="3.2727272727272734"/>
    <n v="3.2727272727272734"/>
  </r>
  <r>
    <n v="68"/>
    <s v="Depiwhite eye gel"/>
    <x v="0"/>
    <n v="1"/>
    <s v="Mahaveer Medi Sales"/>
    <x v="2"/>
    <n v="459.78181818181815"/>
    <n v="505.76"/>
    <n v="578.89"/>
    <n v="45.978181818181838"/>
    <n v="45.978181818181838"/>
  </r>
  <r>
    <n v="69"/>
    <s v="Lacto Calamine Oily Skin"/>
    <x v="0"/>
    <n v="1"/>
    <s v="Mahaveer Medi Sales"/>
    <x v="2"/>
    <n v="178.28181818181818"/>
    <n v="196.11"/>
    <n v="231.41"/>
    <n v="17.828181818181832"/>
    <n v="17.828181818181832"/>
  </r>
  <r>
    <n v="70"/>
    <s v="Hairtamin Cap"/>
    <x v="11"/>
    <n v="1"/>
    <s v="Mahaveer Medi Sales"/>
    <x v="2"/>
    <n v="154.08181818181816"/>
    <n v="169.49"/>
    <n v="172.63"/>
    <n v="15.408181818181845"/>
    <n v="15.408181818181845"/>
  </r>
  <r>
    <n v="71"/>
    <s v="Hairtamin Cap"/>
    <x v="11"/>
    <n v="1"/>
    <s v="Mahaveer Medi Sales"/>
    <x v="2"/>
    <n v="154.08181818181816"/>
    <n v="169.49"/>
    <n v="172.63"/>
    <n v="15.408181818181845"/>
    <n v="15.408181818181845"/>
  </r>
  <r>
    <n v="72"/>
    <s v="Momentsone Cream"/>
    <x v="1"/>
    <n v="3"/>
    <s v="RSM Pharma"/>
    <x v="2"/>
    <n v="238"/>
    <n v="261.8"/>
    <n v="799.94"/>
    <n v="23.800000000000011"/>
    <n v="71.400000000000034"/>
  </r>
  <r>
    <n v="73"/>
    <s v="Pantocid IT Caps"/>
    <x v="4"/>
    <n v="2"/>
    <s v="RSM Pharma"/>
    <x v="2"/>
    <n v="238.96363636363637"/>
    <n v="262.86"/>
    <n v="535.45000000000005"/>
    <n v="23.896363636363645"/>
    <n v="47.792727272727291"/>
  </r>
  <r>
    <n v="74"/>
    <s v="Hhomega + Cap"/>
    <x v="11"/>
    <n v="6"/>
    <s v="RSM Pharma"/>
    <x v="2"/>
    <n v="141.76363636363635"/>
    <n v="155.94"/>
    <n v="952.95"/>
    <n v="14.176363636363646"/>
    <n v="85.058181818181879"/>
  </r>
  <r>
    <n v="75"/>
    <s v="Stolin R Active Toothpaste"/>
    <x v="2"/>
    <n v="1"/>
    <s v="RSM Pharma"/>
    <x v="2"/>
    <n v="160.24545454545455"/>
    <n v="176.27"/>
    <n v="179.52"/>
    <n v="16.024545454545461"/>
    <n v="16.024545454545461"/>
  </r>
  <r>
    <n v="76"/>
    <s v="Olmesar Ch 20MG Tab"/>
    <x v="5"/>
    <n v="2"/>
    <s v="RSM Pharma"/>
    <x v="2"/>
    <n v="147.85454545454542"/>
    <n v="162.63999999999999"/>
    <n v="331.3"/>
    <n v="14.78545454545457"/>
    <n v="29.57090909090914"/>
  </r>
  <r>
    <n v="77"/>
    <s v="Darolac Syrup"/>
    <x v="4"/>
    <n v="1"/>
    <s v="RSM Pharma"/>
    <x v="2"/>
    <n v="129.43636363636361"/>
    <n v="142.38"/>
    <n v="145.01"/>
    <n v="12.943636363636386"/>
    <n v="12.943636363636386"/>
  </r>
  <r>
    <n v="78"/>
    <s v="Aten D Tab"/>
    <x v="5"/>
    <n v="1"/>
    <s v="RSM Pharma"/>
    <x v="2"/>
    <n v="93.818181818181813"/>
    <n v="103.2"/>
    <n v="105.1"/>
    <n v="9.3818181818181898"/>
    <n v="9.3818181818181898"/>
  </r>
  <r>
    <n v="79"/>
    <s v="Concovas 2.5MG Tab"/>
    <x v="5"/>
    <n v="3"/>
    <s v="RSM Pharma"/>
    <x v="2"/>
    <n v="52.009090909090908"/>
    <n v="57.21"/>
    <n v="174.8"/>
    <n v="5.2009090909090929"/>
    <n v="15.602727272727279"/>
  </r>
  <r>
    <n v="80"/>
    <s v="Asthalin R/Caps"/>
    <x v="6"/>
    <n v="10"/>
    <s v="RSM Pharma"/>
    <x v="2"/>
    <n v="45.199999999999996"/>
    <n v="49.72"/>
    <n v="506.4"/>
    <n v="4.5200000000000031"/>
    <n v="45.200000000000031"/>
  </r>
  <r>
    <n v="81"/>
    <s v="Dermadew Glow Cream"/>
    <x v="0"/>
    <n v="1"/>
    <s v="RSM Pharma"/>
    <x v="2"/>
    <n v="218.79999999999998"/>
    <n v="240.68"/>
    <n v="274.48"/>
    <n v="21.880000000000024"/>
    <n v="21.880000000000024"/>
  </r>
  <r>
    <n v="82"/>
    <s v="Siloderm Mixi Cream"/>
    <x v="0"/>
    <n v="1"/>
    <s v="RSM Pharma"/>
    <x v="2"/>
    <n v="62.072727272727271"/>
    <n v="68.28"/>
    <n v="69.55"/>
    <n v="6.2072727272727306"/>
    <n v="6.2072727272727306"/>
  </r>
  <r>
    <n v="83"/>
    <s v="Nilac Gel"/>
    <x v="0"/>
    <n v="2"/>
    <s v="RSM Pharma"/>
    <x v="2"/>
    <n v="127.91818181818182"/>
    <n v="140.71"/>
    <n v="286.62"/>
    <n v="12.791818181818186"/>
    <n v="25.583636363636373"/>
  </r>
  <r>
    <n v="84"/>
    <s v="Rosuvas EZ 10MG"/>
    <x v="5"/>
    <n v="3"/>
    <s v="RSM Pharma"/>
    <x v="2"/>
    <n v="281"/>
    <n v="309.10000000000002"/>
    <n v="944.46"/>
    <n v="28.100000000000023"/>
    <n v="84.300000000000068"/>
  </r>
  <r>
    <n v="85"/>
    <s v="Atorva 10MG Tab 15'S"/>
    <x v="5"/>
    <n v="2"/>
    <s v="RSM Pharma"/>
    <x v="2"/>
    <n v="55.154545454545449"/>
    <n v="60.67"/>
    <n v="123.58"/>
    <n v="5.5154545454545527"/>
    <n v="11.030909090909105"/>
  </r>
  <r>
    <n v="86"/>
    <s v="Limcee 500MG Tab"/>
    <x v="11"/>
    <n v="20"/>
    <s v="RSM Pharma"/>
    <x v="2"/>
    <n v="17.09090909090909"/>
    <n v="18.8"/>
    <n v="382.96"/>
    <n v="1.7090909090909108"/>
    <n v="34.181818181818215"/>
  </r>
  <r>
    <n v="87"/>
    <s v="Thyronorm 125MG Tab 120's"/>
    <x v="11"/>
    <n v="1"/>
    <s v="RSM Pharma"/>
    <x v="2"/>
    <n v="150.05454545454543"/>
    <n v="165.06"/>
    <n v="168.11"/>
    <n v="15.005454545454569"/>
    <n v="15.005454545454569"/>
  </r>
  <r>
    <n v="88"/>
    <s v="Beplex Forte Tab"/>
    <x v="11"/>
    <n v="12"/>
    <s v="Mahaveer Medi Sales"/>
    <x v="3"/>
    <n v="36.918181818181814"/>
    <n v="40.61"/>
    <n v="496.34"/>
    <n v="3.691818181818185"/>
    <n v="44.30181818181822"/>
  </r>
  <r>
    <n v="89"/>
    <s v="Orofer XT Lab"/>
    <x v="11"/>
    <n v="1"/>
    <s v="Mahaveer Medi Sales"/>
    <x v="3"/>
    <n v="177.93636363636361"/>
    <n v="195.73"/>
    <n v="199.36"/>
    <n v="17.793636363636381"/>
    <n v="17.793636363636381"/>
  </r>
  <r>
    <n v="90"/>
    <s v="Acceclowoc SP Tab"/>
    <x v="8"/>
    <n v="19"/>
    <s v="Mahaveer Medi Sales"/>
    <x v="3"/>
    <n v="16.681818181818183"/>
    <n v="18.350000000000001"/>
    <n v="366.09"/>
    <n v="1.668181818181818"/>
    <n v="31.695454545454542"/>
  </r>
  <r>
    <n v="91"/>
    <s v="Lecmon-AX Tab"/>
    <x v="1"/>
    <n v="3"/>
    <s v="RSM Pharma"/>
    <x v="3"/>
    <n v="72.545454545454533"/>
    <n v="79.8"/>
    <n v="243.84"/>
    <n v="7.2545454545454646"/>
    <n v="21.763636363636394"/>
  </r>
  <r>
    <n v="92"/>
    <s v="Cuticlair Ceramide Cream"/>
    <x v="0"/>
    <n v="1"/>
    <s v="RSM Pharma"/>
    <x v="3"/>
    <n v="475.22727272727269"/>
    <n v="522.75"/>
    <n v="532.42999999999995"/>
    <n v="47.522727272727309"/>
    <n v="47.522727272727309"/>
  </r>
  <r>
    <n v="93"/>
    <s v="Starpress XL 50MG Tab 15'S"/>
    <x v="5"/>
    <n v="2"/>
    <s v="RSM Pharma"/>
    <x v="3"/>
    <n v="64.772727272727266"/>
    <n v="71.25"/>
    <n v="145.15"/>
    <n v="6.4772727272727337"/>
    <n v="12.954545454545467"/>
  </r>
  <r>
    <n v="94"/>
    <s v="Nervijen P Cap's 15'S"/>
    <x v="8"/>
    <n v="6"/>
    <s v="RSM Pharma"/>
    <x v="3"/>
    <n v="267.0454545454545"/>
    <n v="293.75"/>
    <n v="1795.11"/>
    <n v="26.704545454545496"/>
    <n v="160.22727272727298"/>
  </r>
  <r>
    <n v="95"/>
    <s v="Olesoft Max Lotion"/>
    <x v="0"/>
    <n v="1"/>
    <s v="Ram Agencies"/>
    <x v="3"/>
    <n v="383.09999999999997"/>
    <n v="421.41"/>
    <n v="429.21"/>
    <n v="38.310000000000059"/>
    <n v="38.310000000000059"/>
  </r>
  <r>
    <n v="96"/>
    <s v="Aquahance Moisture"/>
    <x v="0"/>
    <n v="5"/>
    <s v="Ram Agencies"/>
    <x v="3"/>
    <n v="169.49090909090907"/>
    <n v="186.44"/>
    <n v="949.45"/>
    <n v="16.949090909090927"/>
    <n v="84.745454545454635"/>
  </r>
  <r>
    <n v="97"/>
    <s v="Gentle Baby Wipes(72)"/>
    <x v="7"/>
    <n v="1"/>
    <s v="Ram Agencies"/>
    <x v="3"/>
    <n v="175.38181818181815"/>
    <n v="192.92"/>
    <n v="223.1"/>
    <n v="17.53818181818184"/>
    <n v="17.53818181818184"/>
  </r>
  <r>
    <n v="98"/>
    <s v="Kera XL Hair Growth"/>
    <x v="2"/>
    <n v="2"/>
    <s v="Ram Agencies"/>
    <x v="3"/>
    <n v="857.93636363636358"/>
    <n v="943.73"/>
    <n v="2160.4"/>
    <n v="85.793636363636438"/>
    <n v="171.58727272727288"/>
  </r>
  <r>
    <n v="99"/>
    <s v="Gentle Baby Wipes(72)"/>
    <x v="7"/>
    <n v="1"/>
    <s v="Ram Agencies"/>
    <x v="3"/>
    <n v="53.245454545454542"/>
    <n v="58.57"/>
    <n v="67.739999999999995"/>
    <n v="5.3245454545454578"/>
    <n v="5.3245454545454578"/>
  </r>
  <r>
    <n v="100"/>
    <s v="Lactihep Plus Syrup"/>
    <x v="4"/>
    <n v="1"/>
    <s v="Ram Agencies"/>
    <x v="3"/>
    <n v="202.6"/>
    <n v="222.86"/>
    <n v="226.97"/>
    <n v="20.260000000000019"/>
    <n v="20.260000000000019"/>
  </r>
  <r>
    <n v="101"/>
    <s v="Mobizox Tab"/>
    <x v="8"/>
    <n v="1"/>
    <s v="Ram Agencies"/>
    <x v="3"/>
    <n v="181.81818181818181"/>
    <n v="200"/>
    <n v="203.7"/>
    <n v="18.181818181818187"/>
    <n v="18.181818181818187"/>
  </r>
  <r>
    <n v="102"/>
    <s v="Eltroxin 100MG Tabs"/>
    <x v="11"/>
    <n v="1"/>
    <s v="Ram Agencies"/>
    <x v="3"/>
    <n v="116.94545454545452"/>
    <n v="128.63999999999999"/>
    <n v="131.02000000000001"/>
    <n v="11.694545454545462"/>
    <n v="11.694545454545462"/>
  </r>
  <r>
    <n v="103"/>
    <s v="Eumosone Cream"/>
    <x v="1"/>
    <n v="1"/>
    <s v="Ram Agencies"/>
    <x v="3"/>
    <n v="79.218181818181819"/>
    <n v="87.14"/>
    <n v="88.75"/>
    <n v="7.9218181818181819"/>
    <n v="7.9218181818181819"/>
  </r>
  <r>
    <n v="104"/>
    <s v="Bilatis 20MG Tabs"/>
    <x v="1"/>
    <n v="10"/>
    <s v="Ram Agencies"/>
    <x v="4"/>
    <n v="85.718181818181819"/>
    <n v="94.29"/>
    <n v="960.35"/>
    <n v="8.5718181818181876"/>
    <n v="85.718181818181876"/>
  </r>
  <r>
    <n v="105"/>
    <s v="Ibugesic Plus Syp "/>
    <x v="8"/>
    <n v="9"/>
    <s v="Ram Agencies"/>
    <x v="4"/>
    <n v="39.218181818181819"/>
    <n v="43.14"/>
    <n v="395.45"/>
    <n v="3.9218181818181819"/>
    <n v="35.296363636363637"/>
  </r>
  <r>
    <n v="106"/>
    <s v="Ecosprin AV 150/20 Caps"/>
    <x v="5"/>
    <n v="3"/>
    <s v="Ram Agencies"/>
    <x v="4"/>
    <n v="35.627272727272725"/>
    <n v="39.19"/>
    <n v="120.98"/>
    <n v="3.5627272727272725"/>
    <n v="10.688181818181818"/>
  </r>
  <r>
    <n v="107"/>
    <s v="Betadine Ointment 10%"/>
    <x v="12"/>
    <n v="1"/>
    <s v="Avenues Pharma "/>
    <x v="4"/>
    <n v="95.609090909090909"/>
    <n v="105.17"/>
    <n v="108.23"/>
    <n v="9.5609090909090924"/>
    <n v="9.5609090909090924"/>
  </r>
  <r>
    <n v="108"/>
    <s v="Hhfexo 180 Tabs"/>
    <x v="1"/>
    <n v="10"/>
    <s v="Avenues Pharma "/>
    <x v="4"/>
    <n v="120.12727272727271"/>
    <n v="132.13999999999999"/>
    <n v="1345.84"/>
    <n v="12.012727272727275"/>
    <n v="120.12727272727275"/>
  </r>
  <r>
    <n v="109"/>
    <s v="Atogla Moiturizing"/>
    <x v="0"/>
    <n v="1"/>
    <s v="Mahaveer Medi Sales"/>
    <x v="4"/>
    <n v="239.75454545454545"/>
    <n v="263.73"/>
    <n v="301.86"/>
    <n v="23.975454545454568"/>
    <n v="23.975454545454568"/>
  </r>
  <r>
    <n v="110"/>
    <s v="Amlovas L Tab"/>
    <x v="5"/>
    <n v="4"/>
    <s v="Mahaveer Medi Sales"/>
    <x v="4"/>
    <n v="138.40909090909091"/>
    <n v="152.25"/>
    <n v="620.27"/>
    <n v="13.840909090909093"/>
    <n v="55.363636363636374"/>
  </r>
  <r>
    <n v="111"/>
    <s v="Lupidip 2.5MG Tab"/>
    <x v="5"/>
    <n v="4"/>
    <s v="Mahaveer Medi Sales"/>
    <x v="4"/>
    <n v="13.218181818181817"/>
    <n v="14.54"/>
    <n v="59.24"/>
    <n v="1.3218181818181822"/>
    <n v="5.2872727272727289"/>
  </r>
  <r>
    <n v="112"/>
    <s v="Hifenac MR Tab"/>
    <x v="8"/>
    <n v="2"/>
    <s v="Mahaveer Medi Sales"/>
    <x v="4"/>
    <n v="72.72727272727272"/>
    <n v="80"/>
    <n v="162.96"/>
    <n v="7.2727272727272805"/>
    <n v="14.545454545454561"/>
  </r>
  <r>
    <n v="113"/>
    <s v="COF Q DX Tab"/>
    <x v="3"/>
    <n v="10"/>
    <s v="Mahaveer Medi Sales"/>
    <x v="4"/>
    <n v="11.918181818181816"/>
    <n v="13.11"/>
    <n v="137.66"/>
    <n v="1.1918181818181832"/>
    <n v="11.918181818181832"/>
  </r>
  <r>
    <n v="114"/>
    <s v="Okacet Tab ©"/>
    <x v="1"/>
    <n v="133"/>
    <s v="Mahaveer Medi Sales"/>
    <x v="4"/>
    <n v="4.545454545454545"/>
    <n v="5"/>
    <n v="698.26"/>
    <n v="0.45454545454545503"/>
    <n v="60.454545454545517"/>
  </r>
  <r>
    <n v="115"/>
    <s v="Nicip Plus Tab"/>
    <x v="8"/>
    <n v="38"/>
    <s v="Mahaveer Medi Sales"/>
    <x v="4"/>
    <n v="10.909090909090908"/>
    <n v="12"/>
    <n v="478.8"/>
    <n v="1.0909090909090917"/>
    <n v="41.454545454545482"/>
  </r>
  <r>
    <n v="116"/>
    <s v="Pantosec DSR Caps"/>
    <x v="4"/>
    <n v="38"/>
    <s v="Mahaveer Medi Sales"/>
    <x v="4"/>
    <n v="38.636363636363633"/>
    <n v="42.5"/>
    <n v="1695.76"/>
    <n v="3.8636363636363669"/>
    <n v="146.81818181818193"/>
  </r>
  <r>
    <n v="117"/>
    <s v="KZ Plus Medicated Soap"/>
    <x v="1"/>
    <n v="5"/>
    <s v="Mahaveer Medi Sales"/>
    <x v="4"/>
    <n v="122.03636363636363"/>
    <n v="134.24"/>
    <n v="683.62"/>
    <n v="12.203636363636377"/>
    <n v="61.018181818181887"/>
  </r>
  <r>
    <n v="118"/>
    <s v="Dazit 10MG Tab"/>
    <x v="1"/>
    <n v="2"/>
    <s v="Mahaveer Medi Sales"/>
    <x v="5"/>
    <n v="182.46363636363637"/>
    <n v="200.71"/>
    <n v="408.84"/>
    <n v="18.24636363636364"/>
    <n v="36.492727272727279"/>
  </r>
  <r>
    <n v="119"/>
    <s v="Softovac 250GM"/>
    <x v="4"/>
    <n v="1"/>
    <s v="Mahaveer Medi Sales"/>
    <x v="5"/>
    <n v="308.44545454545454"/>
    <n v="339.29"/>
    <n v="345.57"/>
    <n v="30.844545454545482"/>
    <n v="30.844545454545482"/>
  </r>
  <r>
    <n v="120"/>
    <s v="Picon Cream 10gm"/>
    <x v="1"/>
    <n v="1"/>
    <s v="Mahaveer Medi Sales"/>
    <x v="5"/>
    <n v="457.85454545454542"/>
    <n v="503.64"/>
    <n v="512.95000000000005"/>
    <n v="45.78545454545457"/>
    <n v="45.78545454545457"/>
  </r>
  <r>
    <n v="121"/>
    <s v="Ketokem Soap 75gm"/>
    <x v="1"/>
    <n v="1"/>
    <s v="Mahaveer Medi Sales"/>
    <x v="5"/>
    <n v="47.063636363636363"/>
    <n v="51.77"/>
    <n v="54.35"/>
    <n v="4.7063636363636405"/>
    <n v="4.7063636363636405"/>
  </r>
  <r>
    <n v="122"/>
    <s v="Tyza M Cream"/>
    <x v="1"/>
    <n v="5"/>
    <s v="Mahaveer Medi Sales"/>
    <x v="5"/>
    <n v="86.75454545454545"/>
    <n v="95.43"/>
    <n v="485.98"/>
    <n v="8.6754545454545564"/>
    <n v="43.377272727272782"/>
  </r>
  <r>
    <n v="123"/>
    <s v="Lodoz 5GM Tabs"/>
    <x v="5"/>
    <n v="3"/>
    <s v="Mahaveer Medi Sales"/>
    <x v="5"/>
    <n v="111.99090909090908"/>
    <n v="123.19"/>
    <n v="376.4"/>
    <n v="11.199090909090913"/>
    <n v="33.597272727272738"/>
  </r>
  <r>
    <n v="124"/>
    <s v="Ecosprin AV 150/20 Caps"/>
    <x v="5"/>
    <n v="2"/>
    <s v="Mahaveer Medi Sales"/>
    <x v="5"/>
    <n v="132.68181818181816"/>
    <n v="145.94999999999999"/>
    <n v="300.36"/>
    <n v="13.26818181818183"/>
    <n v="26.53636363636366"/>
  </r>
  <r>
    <n v="125"/>
    <s v="Levigress 500MG Tab 15'S"/>
    <x v="8"/>
    <n v="4"/>
    <s v="Mahaveer Medi Sales"/>
    <x v="5"/>
    <n v="145.22727272727272"/>
    <n v="159.75"/>
    <n v="657.54"/>
    <n v="14.52272727272728"/>
    <n v="58.090909090909122"/>
  </r>
  <r>
    <n v="126"/>
    <s v="Levolin 0.63 Respules"/>
    <x v="6"/>
    <n v="30"/>
    <s v="Mahaveer Medi Sales"/>
    <x v="5"/>
    <n v="5.1090909090909085"/>
    <n v="5.62"/>
    <n v="171.72"/>
    <n v="0.51090909090909165"/>
    <n v="15.327272727272749"/>
  </r>
  <r>
    <n v="127"/>
    <s v="Optineruon INJ"/>
    <x v="11"/>
    <n v="2"/>
    <s v="Mahaveer Medi Sales"/>
    <x v="5"/>
    <n v="90.272727272727266"/>
    <n v="99.3"/>
    <n v="202.28"/>
    <n v="9.0272727272727309"/>
    <n v="18.054545454545462"/>
  </r>
  <r>
    <n v="128"/>
    <s v="EBAL 20"/>
    <x v="2"/>
    <n v="2"/>
    <s v="Mahaveer Medi Sales"/>
    <x v="5"/>
    <n v="74.345454545454544"/>
    <n v="81.78"/>
    <n v="138.83000000000001"/>
    <n v="7.4345454545454572"/>
    <n v="14.869090909090914"/>
  </r>
  <r>
    <n v="129"/>
    <s v="Minopep Gold "/>
    <x v="2"/>
    <n v="1"/>
    <s v="RSM Pharma"/>
    <x v="5"/>
    <n v="766.23636363636354"/>
    <n v="842.86"/>
    <n v="858.45"/>
    <n v="76.623636363636479"/>
    <n v="76.623636363636479"/>
  </r>
  <r>
    <n v="130"/>
    <s v="Sugaflo MV Tab"/>
    <x v="9"/>
    <n v="1"/>
    <s v="RSM Pharma"/>
    <x v="5"/>
    <n v="185.07272727272726"/>
    <n v="203.58"/>
    <n v="207.35"/>
    <n v="18.507272727272749"/>
    <n v="18.507272727272749"/>
  </r>
  <r>
    <n v="131"/>
    <s v="Flawlizo Micro 0.04% Gel"/>
    <x v="0"/>
    <n v="2"/>
    <s v="RSM Pharma"/>
    <x v="5"/>
    <n v="97.399999999999991"/>
    <n v="107.14"/>
    <n v="421.95"/>
    <n v="9.7400000000000091"/>
    <n v="19.480000000000018"/>
  </r>
  <r>
    <n v="132"/>
    <s v="Flawlizo Micro 0.1% Gel"/>
    <x v="0"/>
    <n v="1"/>
    <s v="RSM Pharma"/>
    <x v="5"/>
    <n v="253.24545454545452"/>
    <n v="278.57"/>
    <n v="283.73"/>
    <n v="25.324545454545472"/>
    <n v="25.324545454545472"/>
  </r>
  <r>
    <n v="133"/>
    <s v="Stator 20MG Tab"/>
    <x v="5"/>
    <n v="2"/>
    <s v="RSM Pharma"/>
    <x v="5"/>
    <n v="139.37272727272727"/>
    <n v="153.31"/>
    <n v="312.3"/>
    <n v="13.937272727272727"/>
    <n v="27.874545454545455"/>
  </r>
  <r>
    <n v="134"/>
    <s v="Flawlizo Micro 0.04% Gel"/>
    <x v="0"/>
    <n v="1"/>
    <s v="RSM Pharma"/>
    <x v="5"/>
    <n v="383.09999999999997"/>
    <n v="421.41"/>
    <n v="429.21"/>
    <n v="38.310000000000059"/>
    <n v="38.310000000000059"/>
  </r>
  <r>
    <n v="135"/>
    <s v="Brilante Max Serum "/>
    <x v="0"/>
    <n v="10"/>
    <s v="RSM Pharma"/>
    <x v="5"/>
    <n v="393.83636363636361"/>
    <n v="433.22"/>
    <n v="4412.3500000000004"/>
    <n v="39.383636363636413"/>
    <n v="393.83636363636413"/>
  </r>
  <r>
    <n v="136"/>
    <s v="ORSL Apple Rehydrate Drink"/>
    <x v="11"/>
    <n v="5"/>
    <s v="RSM Pharma"/>
    <x v="5"/>
    <n v="32.418181818181814"/>
    <n v="35.659999999999997"/>
    <n v="181.59"/>
    <n v="3.2418181818181822"/>
    <n v="16.209090909090911"/>
  </r>
  <r>
    <n v="137"/>
    <s v="Tonoferon Paed Syrup"/>
    <x v="11"/>
    <n v="1"/>
    <s v="RSM Pharma"/>
    <x v="5"/>
    <n v="87.663636363636357"/>
    <n v="96.43"/>
    <n v="98.22"/>
    <n v="8.7663636363636499"/>
    <n v="8.7663636363636499"/>
  </r>
  <r>
    <n v="138"/>
    <s v="Zincovit CL Syrup"/>
    <x v="11"/>
    <n v="1"/>
    <s v="RSM Pharma"/>
    <x v="5"/>
    <n v="110.93636363636362"/>
    <n v="122.03"/>
    <n v="124.29"/>
    <n v="11.093636363636378"/>
    <n v="11.093636363636378"/>
  </r>
  <r>
    <n v="139"/>
    <s v="Telmiduce CL Tab"/>
    <x v="5"/>
    <n v="2"/>
    <s v="Ram Agencies"/>
    <x v="5"/>
    <n v="86.354545454545445"/>
    <n v="94.99"/>
    <n v="193.5"/>
    <n v="8.6354545454545502"/>
    <n v="17.2709090909091"/>
  </r>
  <r>
    <n v="140"/>
    <s v="Amrfy Cream"/>
    <x v="0"/>
    <n v="3"/>
    <s v="Ram Agencies"/>
    <x v="5"/>
    <n v="259.09090909090907"/>
    <n v="285"/>
    <n v="870.81"/>
    <n v="25.909090909090935"/>
    <n v="77.727272727272805"/>
  </r>
  <r>
    <n v="141"/>
    <s v="Repace H Tab"/>
    <x v="5"/>
    <n v="3"/>
    <s v="Ram Agencies"/>
    <x v="5"/>
    <n v="120.78181818181818"/>
    <n v="132.86000000000001"/>
    <n v="405.96"/>
    <n v="12.078181818181832"/>
    <n v="36.234545454545497"/>
  </r>
  <r>
    <n v="142"/>
    <s v="Scarend Silicone Gel"/>
    <x v="0"/>
    <n v="1"/>
    <s v="Ram Agencies"/>
    <x v="5"/>
    <n v="425.27272727272725"/>
    <n v="467.8"/>
    <n v="535.45000000000005"/>
    <n v="42.527272727272759"/>
    <n v="42.527272727272759"/>
  </r>
  <r>
    <n v="143"/>
    <s v="Ocurest AH  Eye Drops"/>
    <x v="2"/>
    <n v="1"/>
    <s v="Ram Agencies"/>
    <x v="5"/>
    <n v="75.472727272727269"/>
    <n v="83.02"/>
    <n v="84.55"/>
    <n v="7.5472727272727269"/>
    <n v="7.5472727272727269"/>
  </r>
  <r>
    <n v="144"/>
    <s v="Nurokind Gold RF Caps"/>
    <x v="8"/>
    <n v="1"/>
    <s v="Ram Agencies"/>
    <x v="5"/>
    <n v="67.709090909090904"/>
    <n v="74.48"/>
    <n v="75.87"/>
    <n v="6.7709090909091003"/>
    <n v="6.7709090909091003"/>
  </r>
  <r>
    <n v="145"/>
    <s v="Candid Cream"/>
    <x v="1"/>
    <n v="6"/>
    <s v="Ram Agencies"/>
    <x v="5"/>
    <n v="65.454545454545453"/>
    <n v="72"/>
    <n v="403.32"/>
    <n v="6.5454545454545467"/>
    <n v="39.27272727272728"/>
  </r>
  <r>
    <n v="146"/>
    <s v="Patchex Tab"/>
    <x v="1"/>
    <n v="1"/>
    <s v="Ram Agencies"/>
    <x v="5"/>
    <n v="268.10909090909092"/>
    <n v="294.92"/>
    <n v="300.32"/>
    <n v="26.810909090909092"/>
    <n v="26.810909090909092"/>
  </r>
  <r>
    <n v="147"/>
    <s v="Patchex Tab"/>
    <x v="1"/>
    <n v="1"/>
    <s v="Ram Agencies"/>
    <x v="5"/>
    <n v="268.05454545454546"/>
    <n v="294.86"/>
    <n v="300.32"/>
    <n v="26.805454545454552"/>
    <n v="26.805454545454552"/>
  </r>
  <r>
    <n v="148"/>
    <s v="Renerve Plus Caps"/>
    <x v="8"/>
    <n v="1"/>
    <s v="Ram Agencies"/>
    <x v="5"/>
    <n v="207.55454545454543"/>
    <n v="228.31"/>
    <n v="232.54"/>
    <n v="20.755454545454569"/>
    <n v="20.755454545454569"/>
  </r>
  <r>
    <n v="149"/>
    <s v="Vantej Aqua Mouthwash"/>
    <x v="2"/>
    <n v="1"/>
    <s v="Ram Agencies"/>
    <x v="5"/>
    <n v="111.86363636363635"/>
    <n v="123.05"/>
    <n v="140.84"/>
    <n v="11.186363636363652"/>
    <n v="11.186363636363652"/>
  </r>
  <r>
    <n v="150"/>
    <s v="Pan D Capsules"/>
    <x v="4"/>
    <n v="10"/>
    <s v="Ram Agencies"/>
    <x v="5"/>
    <n v="164.91818181818181"/>
    <n v="181.41"/>
    <n v="1847.66"/>
    <n v="16.491818181818189"/>
    <n v="164.91818181818189"/>
  </r>
  <r>
    <n v="151"/>
    <s v="Zerodol SP Tabs"/>
    <x v="8"/>
    <n v="10"/>
    <s v="Ram Agencies"/>
    <x v="5"/>
    <n v="96.75454545454545"/>
    <n v="106.43"/>
    <n v="1083.93"/>
    <n v="9.6754545454545564"/>
    <n v="96.754545454545564"/>
  </r>
  <r>
    <n v="152"/>
    <s v="Telmikind 20"/>
    <x v="5"/>
    <n v="3"/>
    <s v="RSM Pharma"/>
    <x v="6"/>
    <n v="17.618181818181817"/>
    <n v="19.38"/>
    <n v="59.22"/>
    <n v="1.7618181818181817"/>
    <n v="5.2854545454545452"/>
  </r>
  <r>
    <n v="153"/>
    <s v="ORSL Apple Rehydrate Drink"/>
    <x v="11"/>
    <n v="25"/>
    <s v="RSM Pharma"/>
    <x v="6"/>
    <n v="32.418181818181814"/>
    <n v="35.659999999999997"/>
    <n v="936.05"/>
    <n v="3.2418181818181822"/>
    <n v="81.045454545454561"/>
  </r>
  <r>
    <n v="154"/>
    <s v="Imograf Ointment"/>
    <x v="13"/>
    <n v="2"/>
    <s v="RSM Pharma"/>
    <x v="6"/>
    <n v="103.89999999999999"/>
    <n v="114.29"/>
    <n v="232.8"/>
    <n v="10.390000000000015"/>
    <n v="20.78000000000003"/>
  </r>
  <r>
    <n v="155"/>
    <s v="Ebruma Cream"/>
    <x v="1"/>
    <n v="2"/>
    <s v="RSM Pharma"/>
    <x v="6"/>
    <n v="373.99999999999994"/>
    <n v="411.4"/>
    <n v="838.02"/>
    <n v="37.400000000000034"/>
    <n v="74.800000000000068"/>
  </r>
  <r>
    <n v="156"/>
    <s v="Clavam 625 MG"/>
    <x v="1"/>
    <n v="1"/>
    <s v="RSM Pharma"/>
    <x v="6"/>
    <n v="135.39090909090908"/>
    <n v="148.93"/>
    <n v="151.68"/>
    <n v="13.53909090909093"/>
    <n v="13.53909090909093"/>
  </r>
  <r>
    <n v="157"/>
    <s v="Patchex Tab"/>
    <x v="1"/>
    <n v="2"/>
    <s v="RSM Pharma"/>
    <x v="6"/>
    <n v="268.10909090909092"/>
    <n v="294.92"/>
    <n v="600.74"/>
    <n v="26.810909090909092"/>
    <n v="53.621818181818185"/>
  </r>
  <r>
    <n v="158"/>
    <s v="Trinicalm Plus Tab"/>
    <x v="8"/>
    <n v="15"/>
    <s v="RSM Pharma"/>
    <x v="6"/>
    <n v="21.036363636363635"/>
    <n v="23.14"/>
    <n v="353.53"/>
    <n v="2.1036363636363653"/>
    <n v="31.55454545454548"/>
  </r>
  <r>
    <n v="159"/>
    <s v="Trivolib 1MG Tab "/>
    <x v="9"/>
    <n v="3"/>
    <s v="RSM Pharma"/>
    <x v="6"/>
    <n v="172.08181818181816"/>
    <n v="189.29"/>
    <n v="578.37"/>
    <n v="17.208181818181828"/>
    <n v="51.624545454545483"/>
  </r>
  <r>
    <n v="160"/>
    <s v="Ascoril LS SYP"/>
    <x v="3"/>
    <n v="7"/>
    <s v="RSM Pharma"/>
    <x v="6"/>
    <n v="100.32727272727271"/>
    <n v="110.36"/>
    <n v="736.23"/>
    <n v="10.032727272727286"/>
    <n v="70.229090909090999"/>
  </r>
  <r>
    <n v="161"/>
    <s v="Sensodent K (150ML)"/>
    <x v="2"/>
    <n v="2"/>
    <s v="Mahaveer Medi Sales"/>
    <x v="6"/>
    <n v="88.963636363636354"/>
    <n v="97.86"/>
    <n v="199.35"/>
    <n v="8.8963636363636454"/>
    <n v="17.792727272727291"/>
  </r>
  <r>
    <n v="162"/>
    <s v="No Scars Cream 20GM"/>
    <x v="0"/>
    <n v="1"/>
    <s v="Mahaveer Medi Sales"/>
    <x v="6"/>
    <n v="166.36363636363635"/>
    <n v="183"/>
    <n v="192.16"/>
    <n v="16.636363636363654"/>
    <n v="16.636363636363654"/>
  </r>
  <r>
    <n v="163"/>
    <s v="Flawlizo Micro 0.1% Gel"/>
    <x v="0"/>
    <n v="1"/>
    <s v="Mahaveer Medi Sales"/>
    <x v="6"/>
    <n v="448.0545454545454"/>
    <n v="492.86"/>
    <n v="501.97"/>
    <n v="44.805454545454609"/>
    <n v="44.805454545454609"/>
  </r>
  <r>
    <n v="164"/>
    <s v="Cheston Cold Total Tab"/>
    <x v="3"/>
    <n v="10"/>
    <s v="Mahaveer Medi Sales"/>
    <x v="6"/>
    <n v="47.499999999999993"/>
    <n v="52.25"/>
    <n v="548.62"/>
    <n v="4.7500000000000071"/>
    <n v="47.500000000000071"/>
  </r>
  <r>
    <n v="165"/>
    <s v="Mindruff Scalp Solution"/>
    <x v="2"/>
    <n v="2"/>
    <s v="Avenues Pharma "/>
    <x v="7"/>
    <n v="321.42727272727268"/>
    <n v="353.57"/>
    <n v="720.23"/>
    <n v="32.142727272727313"/>
    <n v="64.285454545454627"/>
  </r>
  <r>
    <n v="166"/>
    <s v="Ebruma Cream"/>
    <x v="1"/>
    <n v="2"/>
    <s v="Avenues Pharma "/>
    <x v="7"/>
    <n v="373.99999999999994"/>
    <n v="411.4"/>
    <n v="838.02"/>
    <n v="37.400000000000034"/>
    <n v="74.800000000000068"/>
  </r>
  <r>
    <n v="167"/>
    <s v="Lulikite Cream"/>
    <x v="1"/>
    <n v="2"/>
    <s v="Avenues Pharma "/>
    <x v="7"/>
    <n v="407.31818181818181"/>
    <n v="448.05"/>
    <n v="912.68"/>
    <n v="40.731818181818198"/>
    <n v="81.463636363636397"/>
  </r>
  <r>
    <n v="168"/>
    <s v="Glykind 60 XR Tab"/>
    <x v="9"/>
    <n v="3"/>
    <s v="Ram Agencies"/>
    <x v="7"/>
    <n v="63.218181818181819"/>
    <n v="69.540000000000006"/>
    <n v="212.48"/>
    <n v="6.3218181818181876"/>
    <n v="18.965454545454563"/>
  </r>
  <r>
    <n v="169"/>
    <s v="Olmezest AM 40MG Tabs"/>
    <x v="5"/>
    <n v="5"/>
    <s v="Ram Agencies"/>
    <x v="7"/>
    <n v="188.30909090909088"/>
    <n v="207.14"/>
    <n v="1054.8699999999999"/>
    <n v="18.830909090909103"/>
    <n v="94.154545454545513"/>
  </r>
  <r>
    <n v="170"/>
    <s v="Tazloc Beta 25MG Tabs"/>
    <x v="5"/>
    <n v="10"/>
    <s v="Ram Agencies"/>
    <x v="7"/>
    <n v="133.76363636363635"/>
    <n v="147.13999999999999"/>
    <n v="1498.62"/>
    <n v="13.376363636363635"/>
    <n v="133.76363636363635"/>
  </r>
  <r>
    <n v="171"/>
    <s v="Pilex Tabs"/>
    <x v="12"/>
    <n v="1"/>
    <s v="Ram Agencies"/>
    <x v="7"/>
    <n v="162.07272727272726"/>
    <n v="178.28"/>
    <n v="181.57"/>
    <n v="16.207272727272738"/>
    <n v="16.207272727272738"/>
  </r>
  <r>
    <n v="172"/>
    <s v="Reclide 40 Tablets"/>
    <x v="9"/>
    <n v="4"/>
    <s v="Ram Agencies"/>
    <x v="7"/>
    <n v="56"/>
    <n v="61.6"/>
    <n v="250.97"/>
    <n v="5.6000000000000014"/>
    <n v="22.400000000000006"/>
  </r>
  <r>
    <n v="173"/>
    <s v="Mox 250MG Redimix 60ML"/>
    <x v="1"/>
    <n v="1"/>
    <s v="Ram Agencies"/>
    <x v="7"/>
    <n v="69.181818181818173"/>
    <n v="76.099999999999994"/>
    <n v="77.52"/>
    <n v="6.9181818181818215"/>
    <n v="6.9181818181818215"/>
  </r>
  <r>
    <n v="174"/>
    <s v="Telemikind-H 80 Tabs"/>
    <x v="5"/>
    <n v="1"/>
    <s v="Ram Agencies"/>
    <x v="7"/>
    <n v="97.745454545454535"/>
    <n v="107.52"/>
    <n v="109.51"/>
    <n v="9.7745454545454606"/>
    <n v="9.7745454545454606"/>
  </r>
  <r>
    <n v="175"/>
    <s v="Naprosyn+250MG 15S"/>
    <x v="8"/>
    <n v="2"/>
    <s v="Ram Agencies"/>
    <x v="7"/>
    <n v="75.127272727272725"/>
    <n v="82.64"/>
    <n v="168.34"/>
    <n v="7.5127272727272754"/>
    <n v="15.025454545454551"/>
  </r>
  <r>
    <n v="176"/>
    <s v="Glycomet GP 1 Tabs"/>
    <x v="9"/>
    <n v="10"/>
    <s v="Ram Agencies"/>
    <x v="7"/>
    <n v="85.390909090909091"/>
    <n v="93.93"/>
    <n v="956.68"/>
    <n v="8.5390909090909162"/>
    <n v="85.390909090909162"/>
  </r>
  <r>
    <n v="177"/>
    <s v="Nurokind LC Tabs"/>
    <x v="8"/>
    <n v="6"/>
    <s v="Ram Agencies"/>
    <x v="7"/>
    <n v="165.48181818181817"/>
    <n v="182.03"/>
    <n v="1019.69"/>
    <n v="16.548181818181831"/>
    <n v="99.289090909090987"/>
  </r>
  <r>
    <n v="178"/>
    <s v="Tenepride 20 Tabs"/>
    <x v="9"/>
    <n v="2"/>
    <s v="Ram Agencies"/>
    <x v="7"/>
    <n v="241.94545454545451"/>
    <n v="266.14"/>
    <n v="542.13"/>
    <n v="24.194545454545477"/>
    <n v="48.389090909090953"/>
  </r>
  <r>
    <n v="179"/>
    <s v="Shelcal 500 Tabs"/>
    <x v="11"/>
    <n v="5"/>
    <s v="Ram Agencies"/>
    <x v="7"/>
    <n v="102.96363636363635"/>
    <n v="113.26"/>
    <n v="576.77"/>
    <n v="10.296363636363651"/>
    <n v="51.481818181818255"/>
  </r>
  <r>
    <n v="180"/>
    <s v="Duphalac Syrup"/>
    <x v="4"/>
    <n v="2"/>
    <s v="Ram Agencies"/>
    <x v="7"/>
    <n v="136.36363636363635"/>
    <n v="150"/>
    <n v="305.56"/>
    <n v="13.636363636363654"/>
    <n v="27.272727272727309"/>
  </r>
  <r>
    <n v="181"/>
    <s v="Beatdine 0.2%"/>
    <x v="12"/>
    <n v="1"/>
    <s v="Ram Agencies"/>
    <x v="7"/>
    <n v="216.88181818181815"/>
    <n v="238.57"/>
    <n v="242.99"/>
    <n v="21.688181818181846"/>
    <n v="21.688181818181846"/>
  </r>
  <r>
    <n v="182"/>
    <s v="Lacryl Hydrate Eye Drops"/>
    <x v="2"/>
    <n v="3"/>
    <s v="RSM Pharma"/>
    <x v="7"/>
    <n v="357.79090909090905"/>
    <n v="393.57"/>
    <n v="1202.55"/>
    <n v="35.779090909090939"/>
    <n v="107.33727272727282"/>
  </r>
  <r>
    <n v="183"/>
    <s v="Lulipex Cream"/>
    <x v="1"/>
    <n v="1"/>
    <s v="RSM Pharma"/>
    <x v="7"/>
    <n v="92.527272727272717"/>
    <n v="101.78"/>
    <n v="103.67"/>
    <n v="9.2527272727272845"/>
    <n v="9.2527272727272845"/>
  </r>
  <r>
    <n v="184"/>
    <s v="EBAL 20"/>
    <x v="2"/>
    <n v="10"/>
    <s v="RSM Pharma"/>
    <x v="7"/>
    <n v="74.354545454545459"/>
    <n v="81.790000000000006"/>
    <n v="833.02"/>
    <n v="7.4354545454545473"/>
    <n v="74.354545454545473"/>
  </r>
  <r>
    <n v="185"/>
    <s v="Beatdine Gargle 2% Mint"/>
    <x v="2"/>
    <n v="1"/>
    <s v="RSM Pharma"/>
    <x v="7"/>
    <n v="216.88181818181815"/>
    <n v="238.57"/>
    <n v="242.99"/>
    <n v="21.688181818181846"/>
    <n v="21.688181818181846"/>
  </r>
  <r>
    <n v="186"/>
    <s v="Cardace 5mg Tab"/>
    <x v="5"/>
    <n v="2"/>
    <s v="RSM Pharma"/>
    <x v="7"/>
    <n v="89.23636363636362"/>
    <n v="98.16"/>
    <n v="199.95"/>
    <n v="8.9236363636363762"/>
    <n v="17.847272727272752"/>
  </r>
  <r>
    <n v="187"/>
    <s v="Kailas Jeevan Cream"/>
    <x v="12"/>
    <n v="1"/>
    <s v="RSM Pharma"/>
    <x v="7"/>
    <n v="44.845454545454537"/>
    <n v="49.33"/>
    <n v="51.79"/>
    <n v="4.4845454545454615"/>
    <n v="4.4845454545454615"/>
  </r>
  <r>
    <n v="188"/>
    <s v="Seroflo-250 Inhaler"/>
    <x v="6"/>
    <n v="1"/>
    <s v="RSM Pharma"/>
    <x v="7"/>
    <n v="633.58181818181822"/>
    <n v="696.94"/>
    <n v="709.83"/>
    <n v="63.358181818181833"/>
    <n v="63.358181818181833"/>
  </r>
  <r>
    <n v="189"/>
    <s v="Dermadew PMX Anti itch Lotion"/>
    <x v="0"/>
    <n v="2"/>
    <s v="RSM Pharma"/>
    <x v="7"/>
    <n v="292.75454545454539"/>
    <n v="322.02999999999997"/>
    <n v="737.2"/>
    <n v="29.275454545454579"/>
    <n v="58.550909090909158"/>
  </r>
  <r>
    <n v="190"/>
    <s v="Rozat 5MG Tab"/>
    <x v="5"/>
    <n v="2"/>
    <s v="RSM Pharma"/>
    <x v="7"/>
    <n v="118.18181818181817"/>
    <n v="130"/>
    <n v="264.82"/>
    <n v="11.818181818181827"/>
    <n v="23.636363636363654"/>
  </r>
  <r>
    <n v="191"/>
    <s v="Picon Cream 10gm"/>
    <x v="1"/>
    <n v="2"/>
    <s v="RSM Pharma"/>
    <x v="7"/>
    <n v="457.85454545454542"/>
    <n v="503.64"/>
    <n v="1025.92"/>
    <n v="45.78545454545457"/>
    <n v="91.57090909090914"/>
  </r>
  <r>
    <n v="192"/>
    <s v="Kailas Jeevan Cream"/>
    <x v="12"/>
    <n v="2"/>
    <s v="RSM Pharma"/>
    <x v="7"/>
    <n v="103.49090909090908"/>
    <n v="113.84"/>
    <n v="239.06"/>
    <n v="10.349090909090918"/>
    <n v="20.698181818181837"/>
  </r>
  <r>
    <n v="193"/>
    <s v="Dazit 10MG Tab"/>
    <x v="1"/>
    <n v="4"/>
    <s v="RSM Pharma"/>
    <x v="7"/>
    <n v="182.46363636363637"/>
    <n v="200.71"/>
    <n v="817.69"/>
    <n v="18.24636363636364"/>
    <n v="72.985454545454559"/>
  </r>
  <r>
    <n v="194"/>
    <s v="Tyza M Cream"/>
    <x v="1"/>
    <n v="5"/>
    <s v="RSM Pharma"/>
    <x v="7"/>
    <n v="86.75454545454545"/>
    <n v="95.43"/>
    <n v="485.98"/>
    <n v="8.6754545454545564"/>
    <n v="43.377272727272782"/>
  </r>
  <r>
    <n v="195"/>
    <s v="Candid Cream"/>
    <x v="1"/>
    <n v="1"/>
    <s v="RSM Pharma"/>
    <x v="7"/>
    <n v="65.454545454545453"/>
    <n v="72"/>
    <n v="485.98"/>
    <n v="6.5454545454545467"/>
    <n v="6.5454545454545467"/>
  </r>
  <r>
    <n v="196"/>
    <s v="Propysalic Plus 3% Lotion"/>
    <x v="1"/>
    <n v="2"/>
    <s v="RSM Pharma"/>
    <x v="7"/>
    <n v="71.427272727272722"/>
    <n v="78.569999999999993"/>
    <n v="160.05000000000001"/>
    <n v="7.1427272727272708"/>
    <n v="14.285454545454542"/>
  </r>
  <r>
    <n v="197"/>
    <s v="Syndopa Plus 15 "/>
    <x v="8"/>
    <n v="10"/>
    <s v="RSM Pharma"/>
    <x v="7"/>
    <n v="28.518181818181816"/>
    <n v="31.37"/>
    <n v="319.51"/>
    <n v="2.8518181818181851"/>
    <n v="28.518181818181851"/>
  </r>
  <r>
    <n v="198"/>
    <s v="Bilashine 40MG Tab"/>
    <x v="1"/>
    <n v="10"/>
    <s v="RSM Pharma"/>
    <x v="7"/>
    <n v="153.24545454545452"/>
    <n v="168.57"/>
    <n v="1716.89"/>
    <n v="15.324545454545472"/>
    <n v="153.24545454545472"/>
  </r>
  <r>
    <n v="199"/>
    <s v="Betadine 10% Solution"/>
    <x v="12"/>
    <n v="1"/>
    <s v="RSM Pharma"/>
    <x v="7"/>
    <n v="74.836363636363629"/>
    <n v="82.32"/>
    <n v="84.71"/>
    <n v="7.4836363636363643"/>
    <n v="7.4836363636363643"/>
  </r>
  <r>
    <n v="200"/>
    <s v="Gelusil MPS Liquid 400 ML"/>
    <x v="4"/>
    <n v="5"/>
    <s v="RSM Pharma"/>
    <x v="7"/>
    <n v="164.97272727272727"/>
    <n v="181.47"/>
    <n v="924.13"/>
    <n v="16.49727272727273"/>
    <n v="82.486363636363649"/>
  </r>
  <r>
    <n v="201"/>
    <s v="Rexidin SRS Mouth Wash"/>
    <x v="2"/>
    <n v="1"/>
    <s v="RSM Pharma"/>
    <x v="7"/>
    <n v="113.63636363636363"/>
    <n v="125"/>
    <n v="127.31"/>
    <n v="11.363636363636374"/>
    <n v="11.363636363636374"/>
  </r>
  <r>
    <n v="202"/>
    <s v="Dersol 3% Ointment"/>
    <x v="0"/>
    <n v="1"/>
    <s v="RSM Pharma"/>
    <x v="7"/>
    <n v="36.490909090909085"/>
    <n v="40.14"/>
    <n v="40.880000000000003"/>
    <n v="3.6490909090909156"/>
    <n v="3.6490909090909156"/>
  </r>
  <r>
    <n v="203"/>
    <s v="Alista MP 500 Tablets"/>
    <x v="0"/>
    <n v="2"/>
    <s v="Mahaveer Medi Sales"/>
    <x v="8"/>
    <n v="132.14545454545456"/>
    <n v="145.36000000000001"/>
    <n v="296.10000000000002"/>
    <n v="13.214545454545458"/>
    <n v="26.429090909090917"/>
  </r>
  <r>
    <n v="204"/>
    <s v="Mintop Alcohol Free 5% Solution"/>
    <x v="0"/>
    <n v="1"/>
    <s v="Mahaveer Medi Sales"/>
    <x v="8"/>
    <n v="794.31818181818176"/>
    <n v="873.75"/>
    <n v="889.92"/>
    <n v="79.431818181818244"/>
    <n v="79.431818181818244"/>
  </r>
  <r>
    <n v="205"/>
    <s v="Luliford Cream 20gm"/>
    <x v="0"/>
    <n v="1"/>
    <s v="Mahaveer Medi Sales"/>
    <x v="8"/>
    <n v="43.636363636363633"/>
    <n v="48"/>
    <n v="50.4"/>
    <n v="4.3636363636363669"/>
    <n v="4.3636363636363669"/>
  </r>
  <r>
    <n v="206"/>
    <s v="Glycomet Trio 1MG Tab"/>
    <x v="1"/>
    <n v="2"/>
    <s v="Mahaveer Medi Sales"/>
    <x v="8"/>
    <n v="111.13636363636363"/>
    <n v="122.25"/>
    <n v="249.03"/>
    <n v="11.113636363636374"/>
    <n v="22.227272727272748"/>
  </r>
  <r>
    <n v="207"/>
    <s v="Luliford Cream 30gm"/>
    <x v="1"/>
    <n v="1"/>
    <s v="Mahaveer Medi Sales"/>
    <x v="8"/>
    <n v="54.54545454545454"/>
    <n v="60"/>
    <n v="63"/>
    <n v="5.4545454545454604"/>
    <n v="5.4545454545454604"/>
  </r>
  <r>
    <n v="208"/>
    <s v="Istamet 50MG/500MG Tab"/>
    <x v="0"/>
    <n v="2"/>
    <s v="Mahaveer Medi Sales"/>
    <x v="8"/>
    <n v="111.03636363636363"/>
    <n v="122.14"/>
    <n v="248.79"/>
    <n v="11.103636363636369"/>
    <n v="22.207272727272738"/>
  </r>
  <r>
    <n v="209"/>
    <s v="Ivoral Forte Tab©"/>
    <x v="1"/>
    <n v="1"/>
    <s v="Mahaveer Medi Sales"/>
    <x v="8"/>
    <n v="35.927272727272729"/>
    <n v="39.520000000000003"/>
    <n v="40.25"/>
    <n v="3.5927272727272737"/>
    <n v="3.5927272727272737"/>
  </r>
  <r>
    <n v="210"/>
    <s v="Sompraz 40MG Tab"/>
    <x v="13"/>
    <n v="1"/>
    <s v="Mahaveer Medi Sales"/>
    <x v="8"/>
    <n v="116.88181818181816"/>
    <n v="128.57"/>
    <n v="130.94999999999999"/>
    <n v="11.688181818181832"/>
    <n v="11.688181818181832"/>
  </r>
  <r>
    <n v="211"/>
    <s v="Ulgel Elaichi Susp"/>
    <x v="13"/>
    <n v="1"/>
    <s v="Mahaveer Medi Sales"/>
    <x v="8"/>
    <n v="112.39999999999999"/>
    <n v="123.64"/>
    <n v="125.93"/>
    <n v="11.240000000000009"/>
    <n v="11.240000000000009"/>
  </r>
  <r>
    <n v="212"/>
    <s v="Thickify Ampm Tab"/>
    <x v="1"/>
    <n v="1"/>
    <s v="Mahaveer Medi Sales"/>
    <x v="8"/>
    <n v="252.70000000000002"/>
    <n v="277.97000000000003"/>
    <n v="283.11"/>
    <n v="25.27000000000001"/>
    <n v="25.27000000000001"/>
  </r>
  <r>
    <n v="213"/>
    <s v="Freelac Oral Solution 100M"/>
    <x v="1"/>
    <n v="2"/>
    <s v="Mahaveer Medi Sales"/>
    <x v="8"/>
    <n v="76.354545454545445"/>
    <n v="83.99"/>
    <n v="176.36"/>
    <n v="7.6354545454545502"/>
    <n v="15.2709090909091"/>
  </r>
  <r>
    <n v="214"/>
    <s v="Lantus Catridge"/>
    <x v="3"/>
    <n v="1"/>
    <s v="Sri Parshva Distributors"/>
    <x v="8"/>
    <n v="2330.2909090909088"/>
    <n v="2563.3200000000002"/>
    <n v="2610.7399999999998"/>
    <n v="233.02909090909134"/>
    <n v="233.02909090909134"/>
  </r>
  <r>
    <n v="215"/>
    <s v="Minichek Solution "/>
    <x v="1"/>
    <n v="1"/>
    <s v="RSM Pharma"/>
    <x v="8"/>
    <n v="687.87272727272716"/>
    <n v="756.66"/>
    <n v="770.66"/>
    <n v="68.787272727272807"/>
    <n v="68.787272727272807"/>
  </r>
  <r>
    <n v="216"/>
    <s v="EBAL 20"/>
    <x v="13"/>
    <n v="10"/>
    <s v="RSM Pharma"/>
    <x v="8"/>
    <n v="74.354545454545459"/>
    <n v="81.790000000000006"/>
    <n v="833.02"/>
    <n v="7.4354545454545473"/>
    <n v="74.354545454545473"/>
  </r>
  <r>
    <n v="217"/>
    <s v="Petril MD 0.25mg Tab"/>
    <x v="1"/>
    <n v="1"/>
    <s v="RSM Pharma"/>
    <x v="8"/>
    <n v="22.027272727272727"/>
    <n v="24.23"/>
    <n v="24.68"/>
    <n v="2.2027272727272731"/>
    <n v="2.2027272727272731"/>
  </r>
  <r>
    <n v="218"/>
    <s v="Gluconorm SR Tab "/>
    <x v="1"/>
    <n v="3"/>
    <s v="RSM Pharma"/>
    <x v="8"/>
    <n v="22.372727272727271"/>
    <n v="24.61"/>
    <n v="79.2"/>
    <n v="2.2372727272727282"/>
    <n v="6.7118181818181846"/>
  </r>
  <r>
    <n v="219"/>
    <s v="Reclide 80MG Tab"/>
    <x v="4"/>
    <n v="4"/>
    <s v="RSM Pharma"/>
    <x v="8"/>
    <n v="94.154545454545442"/>
    <n v="103.57"/>
    <n v="421.96"/>
    <n v="9.4154545454545513"/>
    <n v="37.661818181818205"/>
  </r>
  <r>
    <n v="220"/>
    <s v="Oilatum Kids Bar"/>
    <x v="1"/>
    <n v="1"/>
    <s v="RSM Pharma"/>
    <x v="8"/>
    <n v="81.445454545454538"/>
    <n v="89.59"/>
    <n v="102.54"/>
    <n v="8.1445454545454652"/>
    <n v="8.1445454545454652"/>
  </r>
  <r>
    <n v="221"/>
    <s v="Gabaneuron NT 100MG Tab"/>
    <x v="4"/>
    <n v="2"/>
    <s v="RSM Pharma"/>
    <x v="8"/>
    <n v="124.34545454545453"/>
    <n v="136.78"/>
    <n v="278.81"/>
    <n v="12.434545454545471"/>
    <n v="24.869090909090943"/>
  </r>
  <r>
    <n v="222"/>
    <s v="Volini Gel 100gm"/>
    <x v="5"/>
    <n v="4"/>
    <s v="RSM Pharma"/>
    <x v="8"/>
    <n v="242.20909090909089"/>
    <n v="266.43"/>
    <n v="963.34"/>
    <n v="24.220909090909117"/>
    <n v="96.883636363636469"/>
  </r>
  <r>
    <n v="223"/>
    <s v="Sizopin 25MG Tab"/>
    <x v="4"/>
    <n v="1"/>
    <s v="RSM Pharma"/>
    <x v="8"/>
    <n v="20.563636363636363"/>
    <n v="22.62"/>
    <n v="23.04"/>
    <n v="2.0563636363636384"/>
    <n v="2.0563636363636384"/>
  </r>
  <r>
    <n v="224"/>
    <s v="Rosuvas F 10MG "/>
    <x v="5"/>
    <n v="2"/>
    <s v="RSM Pharma"/>
    <x v="8"/>
    <n v="290.25454545454539"/>
    <n v="319.27999999999997"/>
    <n v="650.38"/>
    <n v="29.025454545454579"/>
    <n v="58.050909090909158"/>
  </r>
  <r>
    <n v="225"/>
    <s v="Amrith Noni Artho Plus Liquid "/>
    <x v="0"/>
    <n v="2"/>
    <s v="RSM Pharma"/>
    <x v="8"/>
    <n v="1131.4909090909091"/>
    <n v="1244.6400000000001"/>
    <n v="2535.34"/>
    <n v="113.149090909091"/>
    <n v="226.298181818182"/>
  </r>
  <r>
    <n v="226"/>
    <s v="Mox 250MG Redimix 60ML"/>
    <x v="1"/>
    <n v="1"/>
    <s v="RSM Pharma"/>
    <x v="8"/>
    <n v="69.181818181818173"/>
    <n v="76.099999999999994"/>
    <n v="77.52"/>
    <n v="6.9181818181818215"/>
    <n v="6.9181818181818215"/>
  </r>
  <r>
    <n v="227"/>
    <s v="Imojac Ointment"/>
    <x v="0"/>
    <n v="5"/>
    <s v="5S Pharma Distributions"/>
    <x v="9"/>
    <n v="448.13636363636357"/>
    <n v="492.95"/>
    <n v="2510.35"/>
    <n v="44.813636363636419"/>
    <n v="224.0681818181821"/>
  </r>
  <r>
    <n v="228"/>
    <s v="Sensoform Paint 20ML"/>
    <x v="0"/>
    <n v="5"/>
    <s v="RSM Pharma"/>
    <x v="9"/>
    <n v="84.090909090909079"/>
    <n v="92.5"/>
    <n v="471.07"/>
    <n v="8.4090909090909207"/>
    <n v="42.045454545454604"/>
  </r>
  <r>
    <n v="229"/>
    <s v="Zimvir 500MG Tab"/>
    <x v="6"/>
    <n v="7"/>
    <s v="RSM Pharma"/>
    <x v="9"/>
    <n v="107.36363636363635"/>
    <n v="118.1"/>
    <n v="842"/>
    <n v="10.736363636363649"/>
    <n v="75.154545454545541"/>
  </r>
  <r>
    <n v="230"/>
    <s v="Zimvir 1000MG Tab"/>
    <x v="6"/>
    <n v="7"/>
    <s v="RSM Pharma"/>
    <x v="9"/>
    <n v="172.1090909090909"/>
    <n v="189.32"/>
    <n v="1349.76"/>
    <n v="17.210909090909098"/>
    <n v="120.47636363636369"/>
  </r>
  <r>
    <n v="231"/>
    <s v="Mascart CL"/>
    <x v="0"/>
    <n v="2"/>
    <s v="RSM Pharma"/>
    <x v="9"/>
    <n v="96.636363636363626"/>
    <n v="106.3"/>
    <n v="216.54"/>
    <n v="9.6636363636363711"/>
    <n v="19.327272727272742"/>
  </r>
  <r>
    <n v="232"/>
    <s v="Kerabright Keratin Shampoo"/>
    <x v="0"/>
    <n v="1"/>
    <s v="RSM Pharma"/>
    <x v="9"/>
    <n v="348.95454545454544"/>
    <n v="383.85"/>
    <n v="390.95"/>
    <n v="34.895454545454584"/>
    <n v="34.895454545454584"/>
  </r>
  <r>
    <n v="233"/>
    <s v="Premarin 0.625MG Tab"/>
    <x v="6"/>
    <n v="1"/>
    <s v="RSM Pharma"/>
    <x v="9"/>
    <n v="897.09090909090901"/>
    <n v="986.8"/>
    <n v="1005.06"/>
    <n v="89.709090909090946"/>
    <n v="89.709090909090946"/>
  </r>
  <r>
    <n v="234"/>
    <s v="Ascoril+ Expt 120ML"/>
    <x v="2"/>
    <n v="7"/>
    <s v="RSM Pharma"/>
    <x v="9"/>
    <n v="109.41818181818181"/>
    <n v="120.36"/>
    <n v="802.95"/>
    <n v="10.941818181818192"/>
    <n v="76.592727272727345"/>
  </r>
  <r>
    <n v="235"/>
    <s v="Megaheal Gel 50GM"/>
    <x v="2"/>
    <n v="1"/>
    <s v="RSM Pharma"/>
    <x v="9"/>
    <n v="251.69090909090909"/>
    <n v="276.86"/>
    <n v="272.82"/>
    <n v="25.169090909090926"/>
    <n v="25.169090909090926"/>
  </r>
  <r>
    <n v="236"/>
    <s v="Amlong 2.5MG Tab"/>
    <x v="2"/>
    <n v="5"/>
    <s v="RSM Pharma"/>
    <x v="9"/>
    <n v="19.845454545454544"/>
    <n v="21.83"/>
    <n v="111.18"/>
    <n v="1.9845454545454544"/>
    <n v="9.922727272727272"/>
  </r>
  <r>
    <n v="237"/>
    <s v="Epilyno Lotion"/>
    <x v="8"/>
    <n v="2"/>
    <s v="RSM Pharma"/>
    <x v="9"/>
    <n v="323.59090909090907"/>
    <n v="355.95"/>
    <n v="814.84"/>
    <n v="32.359090909090924"/>
    <n v="64.718181818181847"/>
  </r>
  <r>
    <n v="238"/>
    <s v="Accu Chek "/>
    <x v="6"/>
    <n v="1"/>
    <s v="RSM Pharma"/>
    <x v="9"/>
    <n v="807.16363636363633"/>
    <n v="887.88"/>
    <n v="904.3"/>
    <n v="80.716363636363667"/>
    <n v="80.716363636363667"/>
  </r>
  <r>
    <n v="239"/>
    <s v="Accu Chek "/>
    <x v="6"/>
    <n v="1"/>
    <s v="RSM Pharma"/>
    <x v="10"/>
    <n v="807.16363636363633"/>
    <n v="887.88"/>
    <n v="904.3"/>
    <n v="80.716363636363667"/>
    <n v="80.716363636363667"/>
  </r>
  <r>
    <n v="240"/>
    <s v="Siloderm Cream"/>
    <x v="4"/>
    <n v="1"/>
    <s v="RSM Pharma"/>
    <x v="9"/>
    <n v="65.25454545454545"/>
    <n v="71.78"/>
    <n v="73.11"/>
    <n v="6.5254545454545507"/>
    <n v="6.5254545454545507"/>
  </r>
  <r>
    <n v="241"/>
    <s v="D 500 Cal Tab"/>
    <x v="10"/>
    <n v="2"/>
    <s v="RSM Pharma"/>
    <x v="9"/>
    <n v="55.581818181818178"/>
    <n v="61.14"/>
    <n v="124.55"/>
    <n v="5.5581818181818221"/>
    <n v="11.116363636363644"/>
  </r>
  <r>
    <n v="242"/>
    <s v="Navison Classic Spray"/>
    <x v="0"/>
    <n v="5"/>
    <s v="RSM Pharma"/>
    <x v="9"/>
    <n v="77.86363636363636"/>
    <n v="85.65"/>
    <n v="436.18"/>
    <n v="7.7863636363636459"/>
    <n v="38.93181818181823"/>
  </r>
  <r>
    <n v="243"/>
    <s v="Mucaine Gel Mint "/>
    <x v="4"/>
    <n v="1"/>
    <s v="Ram Agencies"/>
    <x v="11"/>
    <n v="223.89090909090908"/>
    <n v="246.28"/>
    <n v="250.83"/>
    <n v="22.389090909090925"/>
    <n v="22.389090909090925"/>
  </r>
  <r>
    <n v="244"/>
    <s v="Atogla Lotion"/>
    <x v="0"/>
    <n v="1"/>
    <s v="Ram Agencies"/>
    <x v="11"/>
    <n v="391.37272727272722"/>
    <n v="430.51"/>
    <n v="492.75"/>
    <n v="39.137272727272773"/>
    <n v="39.137272727272773"/>
  </r>
  <r>
    <n v="245"/>
    <s v="MX-F 5% Topical Solution"/>
    <x v="2"/>
    <n v="1"/>
    <s v="Ram Agencies"/>
    <x v="11"/>
    <n v="568.18181818181813"/>
    <n v="625"/>
    <n v="636.57000000000005"/>
    <n v="56.81818181818187"/>
    <n v="56.81818181818187"/>
  </r>
  <r>
    <n v="246"/>
    <s v="Moisturex Hydra Gel"/>
    <x v="0"/>
    <n v="3"/>
    <s v="Ram Agencies"/>
    <x v="11"/>
    <n v="264.40909090909093"/>
    <n v="290.85000000000002"/>
    <n v="998.71"/>
    <n v="26.440909090909088"/>
    <n v="79.322727272727263"/>
  </r>
  <r>
    <n v="247"/>
    <s v="Meganeuron OD Plus"/>
    <x v="11"/>
    <n v="2"/>
    <s v="Ram Agencies"/>
    <x v="11"/>
    <n v="113.63636363636363"/>
    <n v="125"/>
    <n v="254.62"/>
    <n v="11.363636363636374"/>
    <n v="22.727272727272748"/>
  </r>
  <r>
    <n v="248"/>
    <s v="Hhsone Cream"/>
    <x v="1"/>
    <n v="1"/>
    <s v="Ram Agencies"/>
    <x v="11"/>
    <n v="246.09999999999997"/>
    <n v="270.70999999999998"/>
    <n v="275.70999999999998"/>
    <n v="24.610000000000014"/>
    <n v="24.610000000000014"/>
  </r>
  <r>
    <n v="249"/>
    <s v="Macsart CL Tab"/>
    <x v="5"/>
    <n v="3"/>
    <s v="Ram Agencies"/>
    <x v="11"/>
    <n v="96.636363636363626"/>
    <n v="106.3"/>
    <n v="324.79000000000002"/>
    <n v="9.6636363636363711"/>
    <n v="28.990909090909113"/>
  </r>
  <r>
    <n v="250"/>
    <s v="Envas 10MG Tab"/>
    <x v="5"/>
    <n v="1"/>
    <s v="Ram Agencies"/>
    <x v="11"/>
    <n v="64.281818181818167"/>
    <n v="70.709999999999994"/>
    <n v="72.010000000000005"/>
    <n v="6.4281818181818267"/>
    <n v="6.4281818181818267"/>
  </r>
  <r>
    <n v="251"/>
    <s v="Stolin Gum Astringent"/>
    <x v="2"/>
    <n v="1"/>
    <s v="Ram Agencies"/>
    <x v="11"/>
    <n v="82.954545454545453"/>
    <n v="91.25"/>
    <n v="92.93"/>
    <n v="8.2954545454545467"/>
    <n v="8.2954545454545467"/>
  </r>
  <r>
    <n v="252"/>
    <s v="02 New Suspension"/>
    <x v="1"/>
    <n v="4"/>
    <s v="Ram Agencies"/>
    <x v="11"/>
    <n v="53.890909090909091"/>
    <n v="59.28"/>
    <n v="241.51"/>
    <n v="5.3890909090909105"/>
    <n v="21.556363636363642"/>
  </r>
  <r>
    <n v="253"/>
    <s v="Seloken XL 25MG Tab"/>
    <x v="5"/>
    <n v="2"/>
    <s v="Ram Agencies"/>
    <x v="11"/>
    <n v="95.999999999999986"/>
    <n v="105.6"/>
    <n v="217.32"/>
    <n v="9.6000000000000085"/>
    <n v="19.200000000000017"/>
  </r>
  <r>
    <n v="254"/>
    <s v="Shelcal HD Tab"/>
    <x v="11"/>
    <n v="5"/>
    <s v="Ram Agencies"/>
    <x v="11"/>
    <n v="107.7090909090909"/>
    <n v="118.48"/>
    <n v="603.37"/>
    <n v="10.7709090909091"/>
    <n v="53.854545454545502"/>
  </r>
  <r>
    <n v="255"/>
    <s v="Ascoril SF Syrup"/>
    <x v="3"/>
    <n v="1"/>
    <s v="Ram Agencies"/>
    <x v="11"/>
    <n v="109.41818181818181"/>
    <n v="120.36"/>
    <n v="122.59"/>
    <n v="10.941818181818192"/>
    <n v="10.941818181818192"/>
  </r>
  <r>
    <n v="256"/>
    <s v="P-500 Suspension"/>
    <x v="8"/>
    <n v="1"/>
    <s v="Ram Agencies"/>
    <x v="11"/>
    <n v="30.981818181818177"/>
    <n v="34.08"/>
    <n v="34.72"/>
    <n v="3.0981818181818213"/>
    <n v="3.0981818181818213"/>
  </r>
  <r>
    <n v="257"/>
    <s v="Thhronorm-50"/>
    <x v="11"/>
    <n v="3"/>
    <s v="Ram Agencies"/>
    <x v="11"/>
    <n v="91.445454545454538"/>
    <n v="100.59"/>
    <n v="307.36"/>
    <n v="9.1445454545454652"/>
    <n v="27.433636363636396"/>
  </r>
  <r>
    <n v="258"/>
    <s v="Hum-Actrapid"/>
    <x v="9"/>
    <n v="1"/>
    <s v="Ram Agencies"/>
    <x v="11"/>
    <n v="131.91818181818181"/>
    <n v="145.11000000000001"/>
    <n v="149.33000000000001"/>
    <n v="13.191818181818206"/>
    <n v="13.191818181818206"/>
  </r>
  <r>
    <n v="259"/>
    <s v="Glynium VT Inhaler"/>
    <x v="6"/>
    <n v="1"/>
    <s v="RSM Pharma"/>
    <x v="11"/>
    <n v="518.82727272727277"/>
    <n v="570.71"/>
    <n v="581.27"/>
    <n v="51.882727272727266"/>
    <n v="51.882727272727266"/>
  </r>
  <r>
    <n v="260"/>
    <s v="Coaltar S Lotion"/>
    <x v="0"/>
    <n v="1"/>
    <s v="RSM Pharma"/>
    <x v="11"/>
    <n v="226.6272727272727"/>
    <n v="249.29"/>
    <n v="253.91"/>
    <n v="22.662727272727295"/>
    <n v="22.662727272727295"/>
  </r>
  <r>
    <n v="261"/>
    <s v="Roseday 10MG Tab"/>
    <x v="5"/>
    <n v="2"/>
    <s v="RSM Pharma"/>
    <x v="11"/>
    <n v="147.39999999999998"/>
    <n v="162.13999999999999"/>
    <n v="330.27"/>
    <n v="14.740000000000009"/>
    <n v="29.480000000000018"/>
  </r>
  <r>
    <n v="262"/>
    <s v="Canesten Cream 30GM"/>
    <x v="1"/>
    <n v="1"/>
    <s v="RSM Pharma"/>
    <x v="11"/>
    <n v="64.936363636363637"/>
    <n v="71.430000000000007"/>
    <n v="73.5"/>
    <n v="6.4936363636363694"/>
    <n v="6.4936363636363694"/>
  </r>
  <r>
    <n v="263"/>
    <s v="Omnix 100 Dry Syrup"/>
    <x v="1"/>
    <n v="1"/>
    <s v="RSM Pharma"/>
    <x v="11"/>
    <n v="53.009090909090908"/>
    <n v="58.31"/>
    <n v="59.38"/>
    <n v="5.3009090909090943"/>
    <n v="5.3009090909090943"/>
  </r>
  <r>
    <n v="264"/>
    <s v="Lumispark Cream 20G"/>
    <x v="0"/>
    <n v="5"/>
    <s v="Sri Vignesh Pharma"/>
    <x v="12"/>
    <n v="369.18181818181819"/>
    <n v="406.1"/>
    <n v="2324"/>
    <n v="36.918181818181836"/>
    <n v="184.59090909090918"/>
  </r>
  <r>
    <n v="265"/>
    <s v="Torvate 500MG Tab"/>
    <x v="8"/>
    <n v="5"/>
    <s v="RSM Pharma"/>
    <x v="12"/>
    <n v="40.272727272727266"/>
    <n v="44.3"/>
    <n v="225.6"/>
    <n v="4.0272727272727309"/>
    <n v="20.136363636363654"/>
  </r>
  <r>
    <n v="266"/>
    <s v="Triclear N Gel 20GM"/>
    <x v="0"/>
    <n v="1"/>
    <s v="RSM Pharma"/>
    <x v="12"/>
    <n v="292.20909090909089"/>
    <n v="321.43"/>
    <n v="327.37"/>
    <n v="29.220909090909117"/>
    <n v="29.220909090909117"/>
  </r>
  <r>
    <n v="267"/>
    <s v="Carmax Cap"/>
    <x v="11"/>
    <n v="5"/>
    <s v="RSM Pharma"/>
    <x v="12"/>
    <n v="203.89999999999998"/>
    <n v="224.29"/>
    <n v="1039.4000000000001"/>
    <n v="20.390000000000015"/>
    <n v="101.95000000000007"/>
  </r>
  <r>
    <n v="268"/>
    <s v="Lifanta Eye Drops"/>
    <x v="2"/>
    <n v="1"/>
    <s v="RSM Pharma"/>
    <x v="12"/>
    <n v="506.49090909090904"/>
    <n v="557.14"/>
    <n v="567.45000000000005"/>
    <n v="50.649090909090944"/>
    <n v="50.649090909090944"/>
  </r>
  <r>
    <n v="269"/>
    <s v="Aquasoft FC Cream"/>
    <x v="0"/>
    <n v="1"/>
    <s v="RSM Pharma"/>
    <x v="12"/>
    <n v="180.58181818181816"/>
    <n v="198.64"/>
    <n v="227.36"/>
    <n v="18.058181818181822"/>
    <n v="18.058181818181822"/>
  </r>
  <r>
    <n v="270"/>
    <s v="Zincovit Syrup"/>
    <x v="11"/>
    <n v="1"/>
    <s v="RSM Pharma"/>
    <x v="12"/>
    <n v="110.93636363636362"/>
    <n v="122.03"/>
    <n v="124.29"/>
    <n v="11.093636363636378"/>
    <n v="11.093636363636378"/>
  </r>
  <r>
    <n v="271"/>
    <s v="Metrogyl 200MG Tab"/>
    <x v="1"/>
    <n v="2"/>
    <s v="RSM Pharma"/>
    <x v="12"/>
    <n v="13.009090909090908"/>
    <n v="14.31"/>
    <n v="29.14"/>
    <n v="1.3009090909090926"/>
    <n v="2.6018181818181851"/>
  </r>
  <r>
    <n v="272"/>
    <s v="Xymoheald D Tab"/>
    <x v="8"/>
    <n v="1"/>
    <s v="RSM Pharma"/>
    <x v="12"/>
    <n v="236.5545454545454"/>
    <n v="260.20999999999998"/>
    <n v="265.02"/>
    <n v="23.655454545454575"/>
    <n v="23.655454545454575"/>
  </r>
  <r>
    <n v="273"/>
    <s v="Onabet Cream 15GM"/>
    <x v="1"/>
    <n v="1"/>
    <s v="RSM Pharma"/>
    <x v="12"/>
    <n v="166.96363636363634"/>
    <n v="183.66"/>
    <n v="187.05"/>
    <n v="16.696363636363657"/>
    <n v="16.696363636363657"/>
  </r>
  <r>
    <n v="274"/>
    <s v="Glyciphage G1"/>
    <x v="9"/>
    <n v="2"/>
    <s v="RSM Pharma"/>
    <x v="12"/>
    <n v="60.645454545454534"/>
    <n v="66.709999999999994"/>
    <n v="135.9"/>
    <n v="6.0645454545454598"/>
    <n v="12.12909090909092"/>
  </r>
  <r>
    <n v="275"/>
    <s v="Meladuce Face Serum"/>
    <x v="0"/>
    <n v="5"/>
    <s v="Medline Distributors"/>
    <x v="12"/>
    <n v="369.18181818181819"/>
    <n v="406.1"/>
    <n v="2324"/>
    <n v="36.918181818181836"/>
    <n v="184.59090909090918"/>
  </r>
  <r>
    <n v="276"/>
    <s v="Atorva Gold 10MG Cap"/>
    <x v="5"/>
    <n v="3"/>
    <s v="Ram Agencies"/>
    <x v="13"/>
    <n v="45.172727272727265"/>
    <n v="49.69"/>
    <n v="151.80000000000001"/>
    <n v="4.5172727272727329"/>
    <n v="13.551818181818199"/>
  </r>
  <r>
    <n v="277"/>
    <s v="Thrombphob Ointment"/>
    <x v="12"/>
    <n v="6"/>
    <s v="Ram Agencies"/>
    <x v="13"/>
    <n v="156.21818181818182"/>
    <n v="171.84"/>
    <n v="1050.0999999999999"/>
    <n v="15.621818181818185"/>
    <n v="93.730909090909108"/>
  </r>
  <r>
    <n v="278"/>
    <s v="Becadexamin Caps"/>
    <x v="11"/>
    <n v="1"/>
    <s v="Ram Agencies"/>
    <x v="13"/>
    <n v="84"/>
    <n v="92.4"/>
    <n v="94.1"/>
    <n v="8.4000000000000057"/>
    <n v="8.4000000000000057"/>
  </r>
  <r>
    <n v="279"/>
    <s v="Cosglo New Cream"/>
    <x v="0"/>
    <n v="1"/>
    <s v="Ram Agencies"/>
    <x v="13"/>
    <n v="426.49999999999994"/>
    <n v="469.15"/>
    <n v="537"/>
    <n v="42.650000000000034"/>
    <n v="42.650000000000034"/>
  </r>
  <r>
    <n v="280"/>
    <s v="8X Shampoo"/>
    <x v="2"/>
    <n v="1"/>
    <s v="Ram Agencies"/>
    <x v="13"/>
    <n v="350.36363636363632"/>
    <n v="385.4"/>
    <n v="392"/>
    <n v="35.03636363636366"/>
    <n v="35.03636363636366"/>
  </r>
  <r>
    <n v="281"/>
    <s v="Tedibar Ceramax [75GM]"/>
    <x v="0"/>
    <n v="1"/>
    <s v="Ram Agencies"/>
    <x v="13"/>
    <n v="147.29999999999998"/>
    <n v="162.03"/>
    <n v="185.4"/>
    <n v="14.730000000000018"/>
    <n v="14.730000000000018"/>
  </r>
  <r>
    <n v="282"/>
    <s v="Omnitah H"/>
    <x v="5"/>
    <n v="2"/>
    <s v="Ram Agencies"/>
    <x v="13"/>
    <n v="147.29999999999998"/>
    <n v="162.03"/>
    <n v="185.4"/>
    <n v="14.730000000000018"/>
    <n v="29.460000000000036"/>
  </r>
  <r>
    <n v="283"/>
    <s v="Eltroxin 100MG Tabs"/>
    <x v="11"/>
    <n v="1"/>
    <s v="Ram Agencies"/>
    <x v="13"/>
    <n v="164.93636363636364"/>
    <n v="181.43"/>
    <n v="369.5"/>
    <n v="16.493636363636369"/>
    <n v="16.493636363636369"/>
  </r>
  <r>
    <n v="284"/>
    <s v="Acitrom 3MG Tab"/>
    <x v="5"/>
    <n v="1"/>
    <s v="Ram Agencies"/>
    <x v="13"/>
    <n v="116.94545454545452"/>
    <n v="128.63999999999999"/>
    <n v="131"/>
    <n v="11.694545454545462"/>
    <n v="11.694545454545462"/>
  </r>
  <r>
    <n v="285"/>
    <s v="Unwanted 72"/>
    <x v="11"/>
    <n v="1"/>
    <s v="Ram Agencies"/>
    <x v="13"/>
    <n v="457.9"/>
    <n v="503.69"/>
    <n v="513"/>
    <n v="45.79000000000002"/>
    <n v="45.79000000000002"/>
  </r>
  <r>
    <n v="286"/>
    <s v="Gluformin G2 Tabs"/>
    <x v="9"/>
    <n v="2"/>
    <s v="Ram Agencies"/>
    <x v="13"/>
    <n v="55.272727272727266"/>
    <n v="60.8"/>
    <n v="58.9"/>
    <n v="5.5272727272727309"/>
    <n v="11.054545454545462"/>
  </r>
  <r>
    <n v="287"/>
    <s v="Asthalin 4MG Tabs"/>
    <x v="6"/>
    <n v="3"/>
    <s v="Ram Agencies"/>
    <x v="13"/>
    <n v="198.79090909090905"/>
    <n v="218.67"/>
    <n v="445.4"/>
    <n v="19.879090909090934"/>
    <n v="59.637272727272801"/>
  </r>
  <r>
    <n v="288"/>
    <s v="Unwanted 21 Days"/>
    <x v="11"/>
    <n v="1"/>
    <s v="Ram Agencies"/>
    <x v="13"/>
    <n v="10.8"/>
    <n v="11.88"/>
    <n v="36.200000000000003"/>
    <n v="1.08"/>
    <n v="1.08"/>
  </r>
  <r>
    <n v="289"/>
    <s v="Telma 40MG Tab"/>
    <x v="5"/>
    <n v="5"/>
    <s v="Ram Agencies"/>
    <x v="13"/>
    <n v="48.727272727272727"/>
    <n v="53.6"/>
    <n v="51.99"/>
    <n v="4.8727272727272748"/>
    <n v="24.363636363636374"/>
  </r>
  <r>
    <n v="290"/>
    <s v="Amlopin 5MG Tablets"/>
    <x v="5"/>
    <n v="10"/>
    <s v="Ram Agencies"/>
    <x v="13"/>
    <n v="147.4909090909091"/>
    <n v="162.24"/>
    <n v="826.2"/>
    <n v="14.74909090909091"/>
    <n v="147.4909090909091"/>
  </r>
  <r>
    <n v="291"/>
    <s v="Ketorol DT Tablets"/>
    <x v="8"/>
    <n v="10"/>
    <s v="Ram Agencies"/>
    <x v="13"/>
    <n v="18.472727272727273"/>
    <n v="20.32"/>
    <n v="206.96"/>
    <n v="1.8472727272727276"/>
    <n v="18.472727272727276"/>
  </r>
  <r>
    <n v="292"/>
    <s v="Telmikind AM Tab"/>
    <x v="5"/>
    <n v="12"/>
    <s v="Ram Agencies"/>
    <x v="13"/>
    <n v="115.1"/>
    <n v="126.61"/>
    <n v="1289.52"/>
    <n v="11.510000000000005"/>
    <n v="138.12000000000006"/>
  </r>
  <r>
    <n v="293"/>
    <s v="Zincovit Syrup"/>
    <x v="11"/>
    <n v="1"/>
    <s v="Ram Agencies"/>
    <x v="13"/>
    <n v="59.61818181818181"/>
    <n v="65.58"/>
    <n v="801.51"/>
    <n v="5.9618181818181881"/>
    <n v="5.9618181818181881"/>
  </r>
  <r>
    <n v="294"/>
    <s v="Melalumin Under Eye Serum"/>
    <x v="0"/>
    <n v="1"/>
    <s v="Mahaveer Medi Sales"/>
    <x v="13"/>
    <n v="585.5181818181818"/>
    <n v="644.07000000000005"/>
    <n v="737.21"/>
    <n v="58.551818181818248"/>
    <n v="58.551818181818248"/>
  </r>
  <r>
    <n v="295"/>
    <s v="LA Shield Max Sunscreen Lotion"/>
    <x v="10"/>
    <n v="1"/>
    <s v="Mahaveer Medi Sales"/>
    <x v="13"/>
    <n v="563.94545454545448"/>
    <n v="620.34"/>
    <n v="710.05"/>
    <n v="56.39454545454555"/>
    <n v="56.39454545454555"/>
  </r>
  <r>
    <n v="296"/>
    <s v="Photon Sunscreen"/>
    <x v="10"/>
    <n v="1"/>
    <s v="Mahaveer Medi Sales"/>
    <x v="13"/>
    <n v="468.67272727272723"/>
    <n v="515.54"/>
    <n v="590.09"/>
    <n v="46.867272727272734"/>
    <n v="46.867272727272734"/>
  </r>
  <r>
    <n v="297"/>
    <s v="Cuticlair Revive Face Serum"/>
    <x v="0"/>
    <n v="2"/>
    <s v="RSM Pharma"/>
    <x v="14"/>
    <n v="632.99999999999989"/>
    <n v="696.3"/>
    <n v="1418.36"/>
    <n v="63.300000000000068"/>
    <n v="126.60000000000014"/>
  </r>
  <r>
    <n v="298"/>
    <s v="Nanofast Gel"/>
    <x v="8"/>
    <n v="2"/>
    <s v="RSM Pharma"/>
    <x v="14"/>
    <n v="110.39090909090909"/>
    <n v="121.43"/>
    <n v="247.35"/>
    <n v="11.039090909090916"/>
    <n v="22.078181818181832"/>
  </r>
  <r>
    <n v="299"/>
    <s v="Renu MP 120ML Solution"/>
    <x v="2"/>
    <n v="1"/>
    <s v="RSM Pharma"/>
    <x v="14"/>
    <n v="170.25454545454545"/>
    <n v="187.28"/>
    <n v="214.36"/>
    <n v="17.025454545454551"/>
    <n v="17.025454545454551"/>
  </r>
  <r>
    <n v="300"/>
    <s v="Imxia F 5% Solution"/>
    <x v="2"/>
    <n v="1"/>
    <s v="RSM Pharma"/>
    <x v="14"/>
    <n v="551.94545454545448"/>
    <n v="607.14"/>
    <n v="618.37"/>
    <n v="55.194545454545505"/>
    <n v="55.194545454545505"/>
  </r>
  <r>
    <n v="301"/>
    <s v="Eltroxin 25MCG Tab"/>
    <x v="11"/>
    <n v="1"/>
    <s v="RSM Pharma"/>
    <x v="14"/>
    <n v="127.86363636363636"/>
    <n v="140.65"/>
    <n v="143.25"/>
    <n v="12.786363636363646"/>
    <n v="12.786363636363646"/>
  </r>
  <r>
    <n v="302"/>
    <s v="Momate Cream 20GMS"/>
    <x v="1"/>
    <n v="1"/>
    <s v="RSM Pharma"/>
    <x v="14"/>
    <n v="211.0363636363636"/>
    <n v="232.14"/>
    <n v="236.44"/>
    <n v="21.103636363636383"/>
    <n v="21.103636363636383"/>
  </r>
  <r>
    <n v="303"/>
    <s v="Optineuron INJ"/>
    <x v="11"/>
    <n v="3"/>
    <s v="Mahaveer Medi Sales"/>
    <x v="14"/>
    <n v="90.272727272727266"/>
    <n v="99.3"/>
    <n v="303.39999999999998"/>
    <n v="9.0272727272727309"/>
    <n v="27.081818181818193"/>
  </r>
  <r>
    <n v="304"/>
    <s v="Translol XL-50 Tab"/>
    <x v="5"/>
    <n v="3"/>
    <s v="Mahaveer Medi Sales"/>
    <x v="14"/>
    <n v="38.54545454545454"/>
    <n v="42.4"/>
    <n v="129.54"/>
    <n v="3.8545454545454589"/>
    <n v="11.563636363636377"/>
  </r>
  <r>
    <n v="305"/>
    <s v="Sino D3 Cap(60K)"/>
    <x v="11"/>
    <n v="1"/>
    <s v="Mahaveer Medi Sales"/>
    <x v="14"/>
    <n v="77.918181818181807"/>
    <n v="85.71"/>
    <n v="87.3"/>
    <n v="7.7918181818181864"/>
    <n v="7.7918181818181864"/>
  </r>
  <r>
    <n v="306"/>
    <s v="Momentsone Cream"/>
    <x v="1"/>
    <n v="4"/>
    <s v="Mahaveer Medi Sales"/>
    <x v="14"/>
    <n v="238"/>
    <n v="261.8"/>
    <n v="1066.56"/>
    <n v="23.800000000000011"/>
    <n v="95.200000000000045"/>
  </r>
  <r>
    <n v="307"/>
    <s v="Ethiglo Serum"/>
    <x v="0"/>
    <n v="1"/>
    <s v="Mahaveer Medi Sales"/>
    <x v="14"/>
    <n v="1085.1363636363637"/>
    <n v="1193.6500000000001"/>
    <n v="1366.26"/>
    <n v="108.51363636363635"/>
    <n v="108.51363636363635"/>
  </r>
  <r>
    <n v="308"/>
    <s v="Clocip B Cream"/>
    <x v="1"/>
    <n v="2"/>
    <s v="Mahaveer Medi Sales"/>
    <x v="14"/>
    <n v="45.354545454545452"/>
    <n v="49.89"/>
    <n v="52.39"/>
    <n v="4.5354545454545487"/>
    <n v="9.0709090909090975"/>
  </r>
  <r>
    <n v="309"/>
    <s v="Glucreta M 10+500MG Tab"/>
    <x v="9"/>
    <n v="2"/>
    <s v="Mahaveer Medi Sales"/>
    <x v="14"/>
    <n v="111.98181818181818"/>
    <n v="123.18"/>
    <n v="250.91"/>
    <n v="11.198181818181823"/>
    <n v="22.396363636363645"/>
  </r>
  <r>
    <n v="310"/>
    <s v="Softovac 250GM"/>
    <x v="4"/>
    <n v="1"/>
    <s v="Mahaveer Medi Sales"/>
    <x v="14"/>
    <n v="308.44545454545454"/>
    <n v="339.29"/>
    <n v="345.57"/>
    <n v="30.844545454545482"/>
    <n v="30.844545454545482"/>
  </r>
  <r>
    <n v="311"/>
    <s v="Hadensa Oint"/>
    <x v="12"/>
    <n v="1"/>
    <s v="Mahaveer Medi Sales"/>
    <x v="14"/>
    <n v="97.399999999999991"/>
    <n v="107.14"/>
    <n v="109.13"/>
    <n v="9.7400000000000091"/>
    <n v="9.7400000000000091"/>
  </r>
  <r>
    <n v="312"/>
    <s v="Thyronorm 75MCG"/>
    <x v="11"/>
    <n v="1"/>
    <s v="Mahaveer Medi Sales"/>
    <x v="14"/>
    <n v="127.42727272727271"/>
    <n v="140.16999999999999"/>
    <n v="142.76"/>
    <n v="12.742727272727279"/>
    <n v="12.742727272727279"/>
  </r>
  <r>
    <n v="313"/>
    <s v="Alkof DX Cough SYP"/>
    <x v="3"/>
    <n v="3"/>
    <s v="Mahaveer Medi Sales"/>
    <x v="14"/>
    <n v="25.818181818181817"/>
    <n v="28.4"/>
    <n v="89.46"/>
    <n v="2.581818181818182"/>
    <n v="7.745454545454546"/>
  </r>
  <r>
    <n v="314"/>
    <s v="EASI Breathe Caps"/>
    <x v="6"/>
    <n v="38"/>
    <s v="Mahaveer Medi Sales"/>
    <x v="14"/>
    <n v="21.499999999999996"/>
    <n v="23.65"/>
    <n v="943.64"/>
    <n v="2.1500000000000021"/>
    <n v="81.700000000000074"/>
  </r>
  <r>
    <n v="315"/>
    <s v="Eltroxin 50 MCG Tab"/>
    <x v="11"/>
    <n v="1"/>
    <s v="Mahaveer Medi Sales"/>
    <x v="15"/>
    <n v="78.972727272727269"/>
    <n v="86.87"/>
    <n v="88.43"/>
    <n v="7.8972727272727354"/>
    <n v="7.8972727272727354"/>
  </r>
  <r>
    <n v="316"/>
    <s v="Disokem Lotion"/>
    <x v="0"/>
    <n v="2"/>
    <s v="JMJ Pharma"/>
    <x v="15"/>
    <n v="202.24545454545452"/>
    <n v="222.47"/>
    <n v="4894.34"/>
    <n v="20.224545454545478"/>
    <n v="40.449090909090955"/>
  </r>
  <r>
    <n v="317"/>
    <s v="Fairvit Soap"/>
    <x v="0"/>
    <n v="5"/>
    <s v="JMJ Pharma"/>
    <x v="15"/>
    <n v="78.272727272727266"/>
    <n v="86.1"/>
    <n v="4375.5"/>
    <n v="7.827272727272728"/>
    <n v="39.13636363636364"/>
  </r>
  <r>
    <n v="318"/>
    <s v="Minoking-50 DT"/>
    <x v="8"/>
    <n v="2"/>
    <s v="JMJ Pharma"/>
    <x v="15"/>
    <n v="187.0090909090909"/>
    <n v="205.71"/>
    <n v="4525.62"/>
    <n v="18.700909090909107"/>
    <n v="37.401818181818214"/>
  </r>
  <r>
    <n v="319"/>
    <s v="Tacroz Forte Oint"/>
    <x v="13"/>
    <n v="1"/>
    <s v="Tulsi Corporation"/>
    <x v="15"/>
    <n v="357.14545454545453"/>
    <n v="392.86"/>
    <n v="400.12"/>
    <n v="35.714545454545487"/>
    <n v="35.714545454545487"/>
  </r>
  <r>
    <n v="320"/>
    <s v="MOX 250 Caps"/>
    <x v="1"/>
    <n v="2"/>
    <s v="Tulsi Corporation"/>
    <x v="15"/>
    <n v="27.054545454545455"/>
    <n v="29.76"/>
    <n v="60.62"/>
    <n v="2.7054545454545469"/>
    <n v="5.4109090909090938"/>
  </r>
  <r>
    <n v="321"/>
    <s v="Zedex 100ml Syrup"/>
    <x v="3"/>
    <n v="1"/>
    <s v="Tulsi Corporation"/>
    <x v="15"/>
    <n v="124.34545454545453"/>
    <n v="136.78"/>
    <n v="139.32"/>
    <n v="12.434545454545471"/>
    <n v="12.434545454545471"/>
  </r>
  <r>
    <n v="322"/>
    <s v="Thickify Ampm Tab"/>
    <x v="11"/>
    <n v="6"/>
    <s v="Tulsi Corporation"/>
    <x v="15"/>
    <n v="252.70000000000002"/>
    <n v="277.97000000000003"/>
    <n v="1415.69"/>
    <n v="25.27000000000001"/>
    <n v="151.62000000000006"/>
  </r>
  <r>
    <n v="323"/>
    <s v="Nexpro RD 40MG Caps"/>
    <x v="4"/>
    <n v="1"/>
    <s v="Tulsi Corporation"/>
    <x v="15"/>
    <n v="126.62727272727271"/>
    <n v="139.29"/>
    <n v="141.85"/>
    <n v="12.662727272727281"/>
    <n v="12.662727272727281"/>
  </r>
  <r>
    <n v="324"/>
    <s v="Glutaclair Tablet"/>
    <x v="0"/>
    <n v="10"/>
    <s v="Pride Pharma "/>
    <x v="16"/>
    <n v="951.5454545454545"/>
    <n v="1046.7"/>
    <n v="12351"/>
    <n v="95.154545454545541"/>
    <n v="951.54545454545541"/>
  </r>
  <r>
    <n v="325"/>
    <s v="Amorolkite Cream"/>
    <x v="1"/>
    <n v="5"/>
    <s v="Pride Pharma "/>
    <x v="16"/>
    <n v="373.99999999999994"/>
    <n v="411.4"/>
    <n v="2057"/>
    <n v="37.400000000000034"/>
    <n v="187.00000000000017"/>
  </r>
  <r>
    <n v="326"/>
    <s v="Cuticlair Anti Acne Face Serum"/>
    <x v="0"/>
    <n v="5"/>
    <s v="Pride Pharma "/>
    <x v="16"/>
    <n v="588.69090909090903"/>
    <n v="647.55999999999995"/>
    <n v="3237.8"/>
    <n v="58.869090909090914"/>
    <n v="294.34545454545457"/>
  </r>
  <r>
    <n v="327"/>
    <s v="Ebruma Cream"/>
    <x v="1"/>
    <n v="5"/>
    <s v="Pride Pharma "/>
    <x v="16"/>
    <n v="373.99999999999994"/>
    <n v="411.4"/>
    <n v="2047"/>
    <n v="37.400000000000034"/>
    <n v="187.00000000000017"/>
  </r>
  <r>
    <n v="328"/>
    <s v="Lulifight "/>
    <x v="1"/>
    <n v="10"/>
    <s v="Pride Pharma "/>
    <x v="16"/>
    <n v="193.79999999999998"/>
    <n v="213.18"/>
    <n v="2131"/>
    <n v="19.380000000000024"/>
    <n v="193.80000000000024"/>
  </r>
  <r>
    <n v="329"/>
    <s v="Lulikite Cream"/>
    <x v="1"/>
    <n v="5"/>
    <s v="Pride Pharma "/>
    <x v="16"/>
    <n v="306"/>
    <n v="336.6"/>
    <n v="1683"/>
    <n v="30.600000000000023"/>
    <n v="153.00000000000011"/>
  </r>
  <r>
    <n v="330"/>
    <s v="Momentsone Cream"/>
    <x v="1"/>
    <n v="5"/>
    <s v="Pride Pharma "/>
    <x v="16"/>
    <n v="238"/>
    <n v="261.8"/>
    <n v="1309"/>
    <n v="23.800000000000011"/>
    <n v="119.00000000000006"/>
  </r>
  <r>
    <n v="331"/>
    <s v="Pepgain Advance Tablet"/>
    <x v="11"/>
    <n v="5"/>
    <s v="Pride Pharma "/>
    <x v="16"/>
    <n v="538.59090909090912"/>
    <n v="592.45000000000005"/>
    <n v="2962.25"/>
    <n v="53.859090909090924"/>
    <n v="269.29545454545462"/>
  </r>
  <r>
    <n v="332"/>
    <s v="Sunshield Sunscreen SPF"/>
    <x v="10"/>
    <n v="5"/>
    <s v="Pride Pharma "/>
    <x v="16"/>
    <n v="601.95454545454538"/>
    <n v="662.15"/>
    <n v="3310.75"/>
    <n v="60.195454545454595"/>
    <n v="300.97727272727298"/>
  </r>
  <r>
    <n v="333"/>
    <s v="Cuticlair Advance Foaming F/W"/>
    <x v="0"/>
    <n v="10"/>
    <s v="Pride Pharma "/>
    <x v="16"/>
    <n v="395.5"/>
    <n v="435.05"/>
    <n v="4530.5"/>
    <n v="39.550000000000011"/>
    <n v="395.50000000000011"/>
  </r>
  <r>
    <n v="334"/>
    <s v="Momentsone Cream"/>
    <x v="1"/>
    <n v="10"/>
    <s v="Pride Pharma "/>
    <x v="16"/>
    <n v="238"/>
    <n v="261.8"/>
    <n v="2618"/>
    <n v="23.800000000000011"/>
    <n v="238.00000000000011"/>
  </r>
  <r>
    <n v="335"/>
    <s v="Pepgain MF Forte Solution"/>
    <x v="2"/>
    <n v="5"/>
    <s v="Pride Pharma "/>
    <x v="17"/>
    <n v="1326.3636363636363"/>
    <n v="1459"/>
    <n v="7295"/>
    <n v="132.63636363636374"/>
    <n v="663.1818181818187"/>
  </r>
  <r>
    <n v="336"/>
    <s v="Cuticlair Body Acne Spray"/>
    <x v="0"/>
    <n v="5"/>
    <s v="Pride Pharma "/>
    <x v="17"/>
    <n v="379.5454545454545"/>
    <n v="417.5"/>
    <n v="2087.5"/>
    <n v="37.954545454545496"/>
    <n v="189.77272727272748"/>
  </r>
  <r>
    <n v="337"/>
    <s v="Ebruma Cream"/>
    <x v="1"/>
    <n v="5"/>
    <s v="Pride Pharma "/>
    <x v="17"/>
    <n v="373.99999999999994"/>
    <n v="411.4"/>
    <n v="2057"/>
    <n v="37.400000000000034"/>
    <n v="187.00000000000017"/>
  </r>
  <r>
    <n v="338"/>
    <s v="Momentsone Cream"/>
    <x v="1"/>
    <n v="10"/>
    <s v="Pride Pharma "/>
    <x v="17"/>
    <n v="238"/>
    <n v="261.8"/>
    <n v="2618"/>
    <n v="23.800000000000011"/>
    <n v="238.00000000000011"/>
  </r>
  <r>
    <n v="339"/>
    <s v="Momentsone F Cream"/>
    <x v="1"/>
    <n v="10"/>
    <s v="Pride Pharma "/>
    <x v="17"/>
    <n v="306.30909090909086"/>
    <n v="336.94"/>
    <n v="3369.4"/>
    <n v="30.630909090909142"/>
    <n v="306.30909090909142"/>
  </r>
  <r>
    <n v="340"/>
    <s v="Pepgain Eva Tablet"/>
    <x v="11"/>
    <n v="5"/>
    <s v="Pride Pharma "/>
    <x v="17"/>
    <n v="538.59090909090912"/>
    <n v="592.45000000000005"/>
    <n v="2962.25"/>
    <n v="53.859090909090924"/>
    <n v="269.29545454545462"/>
  </r>
  <r>
    <n v="341"/>
    <s v="Cuticlair Revive Face Serum"/>
    <x v="0"/>
    <n v="5"/>
    <s v="Pride Pharma "/>
    <x v="17"/>
    <n v="632.99999999999989"/>
    <n v="696.3"/>
    <n v="3481.5"/>
    <n v="63.300000000000068"/>
    <n v="316.50000000000034"/>
  </r>
  <r>
    <n v="342"/>
    <s v="Cuticlair Advance Foaming F/W"/>
    <x v="0"/>
    <n v="10"/>
    <s v="Pride Pharma "/>
    <x v="17"/>
    <n v="411.86363636363632"/>
    <n v="453.05"/>
    <n v="4530.5"/>
    <n v="41.186363636363694"/>
    <n v="411.86363636363694"/>
  </r>
  <r>
    <n v="343"/>
    <s v="Cuticlair Anti Acne Face Serum"/>
    <x v="0"/>
    <n v="5"/>
    <s v="Pride Pharma "/>
    <x v="18"/>
    <n v="588.69090909090903"/>
    <n v="647.55999999999995"/>
    <n v="3237.8"/>
    <n v="58.869090909090914"/>
    <n v="294.34545454545457"/>
  </r>
  <r>
    <n v="344"/>
    <s v="Ketobright Shampoo"/>
    <x v="2"/>
    <n v="5"/>
    <s v="Pride Pharma "/>
    <x v="18"/>
    <n v="265.4909090909091"/>
    <n v="292.04000000000002"/>
    <n v="1460.2"/>
    <n v="26.549090909090921"/>
    <n v="132.74545454545461"/>
  </r>
  <r>
    <n v="345"/>
    <s v="Neuroprime Plus Capsules"/>
    <x v="11"/>
    <n v="2"/>
    <s v="Mahaveer Medi Sales"/>
    <x v="18"/>
    <n v="161.69090909090909"/>
    <n v="177.86"/>
    <n v="386.45"/>
    <n v="16.169090909090926"/>
    <n v="32.338181818181852"/>
  </r>
  <r>
    <n v="346"/>
    <s v="Allsuth Lotion"/>
    <x v="0"/>
    <n v="1"/>
    <s v="Mahaveer Medi Sales"/>
    <x v="18"/>
    <n v="183.1090909090909"/>
    <n v="201.42"/>
    <n v="218.82"/>
    <n v="18.310909090909092"/>
    <n v="18.310909090909092"/>
  </r>
  <r>
    <n v="347"/>
    <s v="Cilnipres T Tab"/>
    <x v="5"/>
    <n v="3"/>
    <s v="Mahaveer Medi Sales"/>
    <x v="18"/>
    <n v="74.290909090909082"/>
    <n v="81.72"/>
    <n v="266.35000000000002"/>
    <n v="7.4290909090909167"/>
    <n v="22.28727272727275"/>
  </r>
  <r>
    <n v="348"/>
    <s v="Empaone 25MG Tab"/>
    <x v="9"/>
    <n v="3"/>
    <s v="Mahaveer Medi Sales"/>
    <x v="18"/>
    <n v="107.14545454545454"/>
    <n v="117.86"/>
    <n v="384.13"/>
    <n v="10.714545454545458"/>
    <n v="32.143636363636375"/>
  </r>
  <r>
    <n v="349"/>
    <s v="Tolaz DT 5MG Tab"/>
    <x v="8"/>
    <n v="4"/>
    <s v="Mahaveer Medi Sales"/>
    <x v="18"/>
    <n v="61.945454545454538"/>
    <n v="68.14"/>
    <n v="296.16000000000003"/>
    <n v="6.1945454545454623"/>
    <n v="24.778181818181849"/>
  </r>
  <r>
    <n v="350"/>
    <s v="Rosmi 10MG Tab"/>
    <x v="5"/>
    <n v="2"/>
    <s v="Mahaveer Medi Sales"/>
    <x v="18"/>
    <n v="90.263636363636365"/>
    <n v="99.29"/>
    <n v="215.74"/>
    <n v="9.0263636363636408"/>
    <n v="18.052727272727282"/>
  </r>
  <r>
    <n v="351"/>
    <s v="C-PRO Cream 30GM"/>
    <x v="0"/>
    <n v="2"/>
    <s v="Mahaveer Medi Sales"/>
    <x v="18"/>
    <n v="146.1"/>
    <n v="160.71"/>
    <n v="349.2"/>
    <n v="14.610000000000014"/>
    <n v="29.220000000000027"/>
  </r>
  <r>
    <n v="352"/>
    <s v="Siotone Cap"/>
    <x v="11"/>
    <n v="3"/>
    <s v="RSM Pharma"/>
    <x v="18"/>
    <n v="131.65454545454543"/>
    <n v="144.82"/>
    <n v="422.58"/>
    <n v="13.165454545454566"/>
    <n v="39.496363636363697"/>
  </r>
  <r>
    <n v="353"/>
    <s v="Siotone Cap"/>
    <x v="11"/>
    <n v="7"/>
    <s v="RSM Pharma"/>
    <x v="18"/>
    <n v="131.65454545454543"/>
    <n v="144.82"/>
    <n v="986.04"/>
    <n v="13.165454545454566"/>
    <n v="92.158181818181959"/>
  </r>
  <r>
    <n v="354"/>
    <s v="4U-Q10 Plus Cap"/>
    <x v="11"/>
    <n v="2"/>
    <s v="RSM Pharma"/>
    <x v="18"/>
    <n v="373.21818181818179"/>
    <n v="410.54"/>
    <n v="761"/>
    <n v="37.32181818181823"/>
    <n v="74.64363636363646"/>
  </r>
  <r>
    <n v="355"/>
    <s v="4U-Q10 Plus Cap"/>
    <x v="11"/>
    <n v="3"/>
    <s v="RSM Pharma"/>
    <x v="18"/>
    <n v="373.21818181818179"/>
    <n v="410.54"/>
    <n v="1141.52"/>
    <n v="37.32181818181823"/>
    <n v="111.96545454545469"/>
  </r>
  <r>
    <n v="356"/>
    <s v="Suprafung Cream 50GM"/>
    <x v="1"/>
    <n v="1"/>
    <s v="RSM Pharma"/>
    <x v="18"/>
    <n v="227.27272727272725"/>
    <n v="250"/>
    <n v="254.62"/>
    <n v="22.727272727272748"/>
    <n v="22.727272727272748"/>
  </r>
  <r>
    <n v="357"/>
    <s v="Glycomet GP 1 Tabs"/>
    <x v="9"/>
    <n v="6"/>
    <s v="RSM Pharma"/>
    <x v="18"/>
    <n v="108.40909090909091"/>
    <n v="119.25"/>
    <n v="728.74"/>
    <n v="10.840909090909093"/>
    <n v="65.045454545454561"/>
  </r>
  <r>
    <n v="358"/>
    <s v="Dapanorm Trio Forte Tab"/>
    <x v="9"/>
    <n v="2"/>
    <s v="RSM Pharma"/>
    <x v="18"/>
    <n v="160.71818181818179"/>
    <n v="176.79"/>
    <n v="360.11"/>
    <n v="16.071818181818202"/>
    <n v="32.143636363636404"/>
  </r>
  <r>
    <n v="359"/>
    <s v="Ciplox D Eye Drops"/>
    <x v="2"/>
    <n v="19"/>
    <s v="RSM Pharma"/>
    <x v="10"/>
    <n v="18.963636363636361"/>
    <n v="20.86"/>
    <n v="403.67"/>
    <n v="1.8963636363636382"/>
    <n v="36.030909090909127"/>
  </r>
  <r>
    <n v="360"/>
    <s v="Lubrex Eye Drops"/>
    <x v="2"/>
    <n v="2"/>
    <s v="RSM Pharma"/>
    <x v="10"/>
    <n v="89.454545454545453"/>
    <n v="98.4"/>
    <n v="200.44"/>
    <n v="8.9454545454545524"/>
    <n v="17.890909090909105"/>
  </r>
  <r>
    <n v="361"/>
    <s v="Allegra 180MG Tab"/>
    <x v="1"/>
    <n v="6"/>
    <s v="RSM Pharma"/>
    <x v="10"/>
    <n v="196.5"/>
    <n v="216.15"/>
    <n v="1320.89"/>
    <n v="19.650000000000006"/>
    <n v="117.90000000000003"/>
  </r>
  <r>
    <n v="362"/>
    <s v="Jointace Tab"/>
    <x v="11"/>
    <n v="1"/>
    <s v="RSM Pharma"/>
    <x v="10"/>
    <n v="87.663636363636357"/>
    <n v="96.43"/>
    <n v="98.22"/>
    <n v="8.7663636363636499"/>
    <n v="8.7663636363636499"/>
  </r>
  <r>
    <n v="363"/>
    <s v="Hansaplast WaterProof "/>
    <x v="12"/>
    <n v="2"/>
    <s v="RSM Pharma"/>
    <x v="10"/>
    <n v="163.63636363636363"/>
    <n v="180"/>
    <n v="278"/>
    <n v="16.363636363636374"/>
    <n v="32.727272727272748"/>
  </r>
  <r>
    <n v="364"/>
    <s v="Claribid 250MG Tab"/>
    <x v="1"/>
    <n v="1"/>
    <s v="RSM Pharma"/>
    <x v="10"/>
    <n v="178.04545454545453"/>
    <n v="195.85"/>
    <n v="199.47"/>
    <n v="17.804545454545462"/>
    <n v="17.804545454545462"/>
  </r>
  <r>
    <n v="365"/>
    <s v="Dermadew Soap"/>
    <x v="0"/>
    <n v="6"/>
    <s v="RSM Pharma"/>
    <x v="10"/>
    <n v="107.24545454545454"/>
    <n v="117.97"/>
    <n v="720.91"/>
    <n v="10.724545454545463"/>
    <n v="64.347272727272781"/>
  </r>
  <r>
    <n v="366"/>
    <s v="Ulgeraft Syrup "/>
    <x v="4"/>
    <n v="3"/>
    <s v="Ram Agencies"/>
    <x v="10"/>
    <n v="145.32727272727271"/>
    <n v="159.86000000000001"/>
    <n v="488.45"/>
    <n v="14.5327272727273"/>
    <n v="43.598181818181899"/>
  </r>
  <r>
    <n v="367"/>
    <s v="Olesoft Lite Moisturize"/>
    <x v="0"/>
    <n v="3"/>
    <s v="Ram Agencies"/>
    <x v="10"/>
    <n v="322.34545454545452"/>
    <n v="354.58"/>
    <n v="1217.55"/>
    <n v="32.234545454545469"/>
    <n v="96.703636363636406"/>
  </r>
  <r>
    <n v="368"/>
    <s v="Acnemoist Cream"/>
    <x v="0"/>
    <n v="1"/>
    <s v="Ram Agencies"/>
    <x v="10"/>
    <n v="277.0454545454545"/>
    <n v="304.75"/>
    <n v="348.81"/>
    <n v="27.704545454545496"/>
    <n v="27.704545454545496"/>
  </r>
  <r>
    <n v="369"/>
    <s v="Suncros Neo Gel"/>
    <x v="10"/>
    <n v="2"/>
    <s v="Ram Agencies"/>
    <x v="10"/>
    <n v="523.88181818181818"/>
    <n v="576.27"/>
    <n v="1319.2"/>
    <n v="52.388181818181806"/>
    <n v="104.77636363636361"/>
  </r>
  <r>
    <n v="370"/>
    <s v="Stalix D 10+ 100MG Tabs"/>
    <x v="8"/>
    <n v="3"/>
    <s v="Ram Agencies"/>
    <x v="10"/>
    <n v="151.40909090909091"/>
    <n v="166.55"/>
    <n v="508.9"/>
    <n v="15.140909090909105"/>
    <n v="45.422727272727315"/>
  </r>
  <r>
    <n v="371"/>
    <s v="Dermadew Soap"/>
    <x v="0"/>
    <n v="2"/>
    <s v="Ram Agencies"/>
    <x v="10"/>
    <n v="122.03636363636363"/>
    <n v="134.24"/>
    <n v="273.45"/>
    <n v="12.203636363636377"/>
    <n v="24.407272727272755"/>
  </r>
  <r>
    <n v="372"/>
    <s v="Aciloc 150 Tab"/>
    <x v="4"/>
    <n v="1"/>
    <s v="Ram Agencies"/>
    <x v="10"/>
    <n v="34.93636363636363"/>
    <n v="38.43"/>
    <n v="39.14"/>
    <n v="3.4936363636363694"/>
    <n v="3.4936363636363694"/>
  </r>
  <r>
    <n v="373"/>
    <s v="Bimat LS Eye Drops"/>
    <x v="2"/>
    <n v="1"/>
    <s v="Ram Agencies"/>
    <x v="10"/>
    <n v="188.30909090909088"/>
    <n v="207.14"/>
    <n v="210.97"/>
    <n v="18.830909090909103"/>
    <n v="18.830909090909103"/>
  </r>
  <r>
    <n v="374"/>
    <s v="Megaheal Gel 50GM"/>
    <x v="12"/>
    <n v="1"/>
    <s v="Ram Agencies"/>
    <x v="10"/>
    <n v="243.5090909090909"/>
    <n v="267.86"/>
    <n v="272.82"/>
    <n v="24.350909090909113"/>
    <n v="24.350909090909113"/>
  </r>
  <r>
    <n v="375"/>
    <s v="Orvas 10MG Tabs"/>
    <x v="5"/>
    <n v="2"/>
    <s v="Ram Agencies"/>
    <x v="10"/>
    <n v="30.9"/>
    <n v="33.99"/>
    <n v="69.239999999999995"/>
    <n v="3.0900000000000034"/>
    <n v="6.1800000000000068"/>
  </r>
  <r>
    <n v="376"/>
    <s v="Jointace Tab"/>
    <x v="11"/>
    <n v="1"/>
    <s v="Ram Agencies"/>
    <x v="10"/>
    <n v="87.272727272727266"/>
    <n v="96"/>
    <n v="97.78"/>
    <n v="8.7272727272727337"/>
    <n v="8.7272727272727337"/>
  </r>
  <r>
    <n v="377"/>
    <s v="Lubrex Eye Drops"/>
    <x v="2"/>
    <n v="2"/>
    <s v="Ram Agencies"/>
    <x v="10"/>
    <n v="89.418181818181807"/>
    <n v="98.36"/>
    <n v="200.36"/>
    <n v="8.9418181818181921"/>
    <n v="17.883636363636384"/>
  </r>
  <r>
    <n v="378"/>
    <s v="Nucoxia 90 Tab"/>
    <x v="8"/>
    <n v="1"/>
    <s v="Ram Agencies"/>
    <x v="10"/>
    <n v="219.93636363636364"/>
    <n v="241.93"/>
    <n v="246.41"/>
    <n v="21.993636363636369"/>
    <n v="21.993636363636369"/>
  </r>
  <r>
    <n v="379"/>
    <s v="Suncros Soft Gel"/>
    <x v="10"/>
    <n v="2"/>
    <s v="Ram Agencies"/>
    <x v="19"/>
    <n v="511.55454545454546"/>
    <n v="562.71"/>
    <n v="1288.1600000000001"/>
    <n v="51.155454545454575"/>
    <n v="102.31090909090915"/>
  </r>
  <r>
    <n v="380"/>
    <s v="Tripide 2MG Tab"/>
    <x v="8"/>
    <n v="3"/>
    <s v="Ram Agencies"/>
    <x v="19"/>
    <n v="229.81818181818181"/>
    <n v="252.8"/>
    <n v="772.43"/>
    <n v="22.981818181818198"/>
    <n v="68.945454545454595"/>
  </r>
  <r>
    <n v="381"/>
    <s v="Tenefit M Tab"/>
    <x v="9"/>
    <n v="1"/>
    <s v="Ram Agencies"/>
    <x v="19"/>
    <n v="98.372727272727261"/>
    <n v="108.21"/>
    <n v="110.2"/>
    <n v="9.8372727272727332"/>
    <n v="9.8372727272727332"/>
  </r>
  <r>
    <n v="382"/>
    <s v="Glycomet 500 SR Tabs"/>
    <x v="9"/>
    <n v="10"/>
    <s v="Ram Agencies"/>
    <x v="19"/>
    <n v="29.072727272727271"/>
    <n v="31.98"/>
    <n v="329.08"/>
    <n v="2.9072727272727299"/>
    <n v="29.072727272727299"/>
  </r>
  <r>
    <n v="383"/>
    <s v="Clohex 150 ML"/>
    <x v="2"/>
    <n v="1"/>
    <s v="Ram Agencies"/>
    <x v="19"/>
    <n v="128.23636363636362"/>
    <n v="141.06"/>
    <n v="143.66999999999999"/>
    <n v="12.823636363636382"/>
    <n v="12.823636363636382"/>
  </r>
  <r>
    <n v="384"/>
    <s v="Concor 5 Tabs"/>
    <x v="5"/>
    <n v="3"/>
    <s v="Ram Agencies"/>
    <x v="19"/>
    <n v="91.554545454545448"/>
    <n v="100.71"/>
    <n v="307.73"/>
    <n v="9.1554545454545462"/>
    <n v="27.466363636363639"/>
  </r>
  <r>
    <n v="385"/>
    <s v="Melaglow New Cream"/>
    <x v="0"/>
    <n v="1"/>
    <s v="Ram Agencies"/>
    <x v="19"/>
    <n v="272.41818181818184"/>
    <n v="299.66000000000003"/>
    <n v="342.99"/>
    <n v="27.241818181818189"/>
    <n v="27.241818181818189"/>
  </r>
  <r>
    <n v="386"/>
    <s v="Pynomax TX Face Serum"/>
    <x v="0"/>
    <n v="5"/>
    <s v="Avenues Pharma "/>
    <x v="19"/>
    <n v="372.72727272727269"/>
    <n v="410"/>
    <n v="2346.44"/>
    <n v="37.272727272727309"/>
    <n v="186.36363636363654"/>
  </r>
  <r>
    <n v="387"/>
    <s v="Nezaflo Nasal Spray"/>
    <x v="3"/>
    <n v="1"/>
    <s v="Mahaveer Medi Sales"/>
    <x v="20"/>
    <n v="292.20909090909089"/>
    <n v="321.43"/>
    <n v="327.37"/>
    <n v="29.220909090909117"/>
    <n v="29.220909090909117"/>
  </r>
  <r>
    <n v="388"/>
    <s v="Keto B Cream"/>
    <x v="1"/>
    <n v="1"/>
    <s v="Mahaveer Medi Sales"/>
    <x v="20"/>
    <n v="103.24545454545454"/>
    <n v="113.57"/>
    <n v="115.66"/>
    <n v="10.324545454545458"/>
    <n v="10.324545454545458"/>
  </r>
  <r>
    <n v="389"/>
    <s v="Clearwax Ear Drops"/>
    <x v="2"/>
    <n v="3"/>
    <s v="Mahaveer Medi Sales"/>
    <x v="20"/>
    <n v="27.09090909090909"/>
    <n v="29.8"/>
    <n v="93.88"/>
    <n v="2.7090909090909108"/>
    <n v="8.1272727272727323"/>
  </r>
  <r>
    <n v="390"/>
    <s v="Trapic MF Tab"/>
    <x v="8"/>
    <n v="1"/>
    <s v="Mahaveer Medi Sales"/>
    <x v="20"/>
    <n v="314.93636363636364"/>
    <n v="346.43"/>
    <n v="352.84"/>
    <n v="31.493636363636369"/>
    <n v="31.493636363636369"/>
  </r>
  <r>
    <n v="391"/>
    <s v="Reactin 50MG Tab"/>
    <x v="8"/>
    <n v="10"/>
    <s v="Mahaveer Medi Sales"/>
    <x v="20"/>
    <n v="6.8909090909090907"/>
    <n v="7.58"/>
    <n v="79.599999999999994"/>
    <n v="0.68909090909090942"/>
    <n v="6.8909090909090942"/>
  </r>
  <r>
    <n v="392"/>
    <s v="Remetor F"/>
    <x v="5"/>
    <n v="4"/>
    <s v="Mahaveer Medi Sales"/>
    <x v="20"/>
    <n v="112.99090909090908"/>
    <n v="124.29"/>
    <n v="506.37"/>
    <n v="11.299090909090921"/>
    <n v="45.196363636363685"/>
  </r>
  <r>
    <n v="393"/>
    <s v="Remetor F"/>
    <x v="5"/>
    <n v="1"/>
    <s v="Mahaveer Medi Sales"/>
    <x v="20"/>
    <n v="112.99090909090908"/>
    <n v="124.29"/>
    <n v="126.58"/>
    <n v="11.299090909090921"/>
    <n v="11.299090909090921"/>
  </r>
  <r>
    <n v="394"/>
    <s v="Dermadew Aloe Plus"/>
    <x v="0"/>
    <n v="1"/>
    <s v="Ram Agencies"/>
    <x v="20"/>
    <n v="155.31818181818181"/>
    <n v="170.85"/>
    <n v="195.54"/>
    <n v="15.531818181818181"/>
    <n v="15.531818181818181"/>
  </r>
  <r>
    <n v="395"/>
    <s v="Medomol SP Tabs"/>
    <x v="8"/>
    <n v="10"/>
    <s v="Ram Agencies"/>
    <x v="20"/>
    <n v="81.818181818181813"/>
    <n v="90"/>
    <n v="916.66"/>
    <n v="8.181818181818187"/>
    <n v="81.81818181818187"/>
  </r>
  <r>
    <n v="396"/>
    <s v="Becosules Plus Syrup"/>
    <x v="11"/>
    <n v="1"/>
    <s v="Ram Agencies"/>
    <x v="20"/>
    <n v="71.418181818181822"/>
    <n v="78.56"/>
    <n v="80.02"/>
    <n v="7.1418181818181807"/>
    <n v="7.1418181818181807"/>
  </r>
  <r>
    <n v="397"/>
    <s v="Eltroxin Tablets"/>
    <x v="11"/>
    <n v="1"/>
    <s v="Ram Agencies"/>
    <x v="20"/>
    <n v="78.98181818181817"/>
    <n v="86.88"/>
    <n v="88.49"/>
    <n v="7.8981818181818255"/>
    <n v="7.8981818181818255"/>
  </r>
  <r>
    <n v="398"/>
    <s v="Levipil 250MG Tab"/>
    <x v="8"/>
    <n v="3"/>
    <s v="Ram Agencies"/>
    <x v="20"/>
    <n v="46.609090909090909"/>
    <n v="51.27"/>
    <n v="156.66"/>
    <n v="4.6609090909090938"/>
    <n v="13.982727272727281"/>
  </r>
  <r>
    <n v="399"/>
    <s v="Volini Maxx Spray "/>
    <x v="8"/>
    <n v="4"/>
    <s v="Ram Agencies"/>
    <x v="20"/>
    <n v="155.14545454545453"/>
    <n v="170.66"/>
    <n v="695.26"/>
    <n v="15.51454545454547"/>
    <n v="62.058181818181879"/>
  </r>
  <r>
    <n v="400"/>
    <s v="Electral Powder(BIG)"/>
    <x v="11"/>
    <n v="28"/>
    <s v="Ram Agencies"/>
    <x v="20"/>
    <n v="15.963636363636361"/>
    <n v="17.559999999999999"/>
    <n v="500.72"/>
    <n v="1.5963636363636375"/>
    <n v="44.698181818181851"/>
  </r>
  <r>
    <n v="401"/>
    <s v="Triobimet 2"/>
    <x v="9"/>
    <n v="6"/>
    <s v="Ram Agencies"/>
    <x v="20"/>
    <n v="159.19090909090909"/>
    <n v="175.11"/>
    <n v="1070.0999999999999"/>
    <n v="15.919090909090926"/>
    <n v="95.514545454545555"/>
  </r>
  <r>
    <n v="402"/>
    <s v="Tazloc Trio 40 Tabs"/>
    <x v="5"/>
    <n v="4"/>
    <s v="Ram Agencies"/>
    <x v="20"/>
    <n v="114.55454545454545"/>
    <n v="126.01"/>
    <n v="513.6"/>
    <n v="11.455454545454558"/>
    <n v="45.82181818181823"/>
  </r>
  <r>
    <n v="403"/>
    <s v="Emolene Cream"/>
    <x v="0"/>
    <n v="2"/>
    <s v="Ram Agencies"/>
    <x v="20"/>
    <n v="246.75454545454545"/>
    <n v="271.43"/>
    <n v="552.89"/>
    <n v="24.675454545454556"/>
    <n v="49.350909090909113"/>
  </r>
  <r>
    <n v="404"/>
    <s v="Farehance Brightening Serum"/>
    <x v="0"/>
    <n v="2"/>
    <s v="Avenues Pharma "/>
    <x v="20"/>
    <n v="874.96363636363628"/>
    <n v="962.46"/>
    <n v="1960.53"/>
    <n v="87.496363636363753"/>
    <n v="174.99272727272751"/>
  </r>
  <r>
    <n v="405"/>
    <s v="Behance Sunscreen"/>
    <x v="10"/>
    <n v="2"/>
    <s v="Avenues Pharma "/>
    <x v="20"/>
    <n v="555.29999999999995"/>
    <n v="610.83000000000004"/>
    <n v="1244.27"/>
    <n v="55.530000000000086"/>
    <n v="111.06000000000017"/>
  </r>
  <r>
    <n v="406"/>
    <s v="Amrfy Cream"/>
    <x v="0"/>
    <n v="3"/>
    <s v="Avenues Pharma "/>
    <x v="20"/>
    <n v="259.09090909090907"/>
    <n v="285"/>
    <n v="870.81"/>
    <n v="25.909090909090935"/>
    <n v="77.727272727272805"/>
  </r>
  <r>
    <n v="407"/>
    <s v="Eyecirque Advance"/>
    <x v="2"/>
    <n v="3"/>
    <s v="Avenues Pharma "/>
    <x v="20"/>
    <n v="501.08181818181816"/>
    <n v="551.19000000000005"/>
    <n v="1684.16"/>
    <n v="50.10818181818189"/>
    <n v="150.32454545454567"/>
  </r>
  <r>
    <n v="408"/>
    <s v="Acnewin Face Wash"/>
    <x v="0"/>
    <n v="3"/>
    <s v="Mahaveer Medi Sales"/>
    <x v="20"/>
    <n v="155.87272727272727"/>
    <n v="171.46"/>
    <n v="529.29"/>
    <n v="15.587272727272733"/>
    <n v="46.761818181818199"/>
  </r>
  <r>
    <n v="409"/>
    <s v="Omnigel 50GM"/>
    <x v="8"/>
    <n v="2"/>
    <s v="Mahaveer Medi Sales"/>
    <x v="20"/>
    <n v="80.590909090909093"/>
    <n v="88.65"/>
    <n v="186.16"/>
    <n v="8.0590909090909122"/>
    <n v="16.118181818181824"/>
  </r>
  <r>
    <n v="410"/>
    <s v="Clop S Nano Lotion"/>
    <x v="1"/>
    <n v="1"/>
    <s v="Mahaveer Medi Sales"/>
    <x v="20"/>
    <n v="150.35454545454542"/>
    <n v="165.39"/>
    <n v="168.45"/>
    <n v="15.03545454545457"/>
    <n v="15.03545454545457"/>
  </r>
  <r>
    <n v="411"/>
    <s v="Meprate 10MG Tab"/>
    <x v="11"/>
    <n v="3"/>
    <s v="Mahaveer Medi Sales"/>
    <x v="20"/>
    <n v="48.454545454545446"/>
    <n v="53.3"/>
    <n v="162.86000000000001"/>
    <n v="4.845454545454551"/>
    <n v="14.536363636363653"/>
  </r>
  <r>
    <n v="412"/>
    <s v="Ebal 20"/>
    <x v="2"/>
    <n v="12"/>
    <s v="Mahaveer Medi Sales"/>
    <x v="20"/>
    <n v="74.345454545454544"/>
    <n v="81.78"/>
    <n v="832.93"/>
    <n v="7.4345454545454572"/>
    <n v="89.214545454545487"/>
  </r>
  <r>
    <n v="413"/>
    <s v="Folica Hair Tincture"/>
    <x v="2"/>
    <n v="1"/>
    <s v="Mahaveer Medi Sales"/>
    <x v="20"/>
    <n v="206.49090909090907"/>
    <n v="227.14"/>
    <n v="231.35"/>
    <n v="20.649090909090916"/>
    <n v="20.649090909090916"/>
  </r>
  <r>
    <n v="414"/>
    <s v="Maxirich Multivitamins Caps"/>
    <x v="11"/>
    <n v="6"/>
    <s v="Mahaveer Medi Sales"/>
    <x v="21"/>
    <n v="79.490909090909085"/>
    <n v="87.44"/>
    <n v="178.11"/>
    <n v="7.9490909090909128"/>
    <n v="47.694545454545477"/>
  </r>
  <r>
    <n v="415"/>
    <s v="Cipcal D3 Caps"/>
    <x v="11"/>
    <n v="5"/>
    <s v="Mahaveer Medi Sales"/>
    <x v="21"/>
    <n v="23.5"/>
    <n v="25.85"/>
    <n v="135.71"/>
    <n v="2.3500000000000014"/>
    <n v="11.750000000000007"/>
  </r>
  <r>
    <n v="416"/>
    <s v="Enerzal Orange Sach 100GM"/>
    <x v="11"/>
    <n v="10"/>
    <s v="Mahaveer Medi Sales"/>
    <x v="21"/>
    <n v="44.054545454545455"/>
    <n v="48.46"/>
    <n v="444.22"/>
    <n v="4.4054545454545462"/>
    <n v="44.054545454545462"/>
  </r>
  <r>
    <n v="417"/>
    <s v="Aerocort Rotacaps 60'S"/>
    <x v="6"/>
    <n v="1"/>
    <s v="Mahaveer Medi Sales"/>
    <x v="21"/>
    <n v="89.836363636363629"/>
    <n v="98.82"/>
    <n v="100.66"/>
    <n v="8.9836363636363643"/>
    <n v="8.9836363636363643"/>
  </r>
  <r>
    <n v="418"/>
    <s v="Sitaxa M 50+500 Tab"/>
    <x v="9"/>
    <n v="2"/>
    <s v="Mahaveer Medi Sales"/>
    <x v="21"/>
    <n v="155.56363636363636"/>
    <n v="171.12"/>
    <n v="348.57"/>
    <n v="15.556363636363642"/>
    <n v="31.112727272727284"/>
  </r>
  <r>
    <n v="419"/>
    <s v="Calosoft AF Lotion"/>
    <x v="0"/>
    <n v="5"/>
    <s v="Mahaveer Medi Sales"/>
    <x v="21"/>
    <n v="80.745454545454535"/>
    <n v="88.82"/>
    <n v="462.57"/>
    <n v="8.0745454545454578"/>
    <n v="40.372727272727289"/>
  </r>
  <r>
    <n v="420"/>
    <s v="Aldigesic MR Tab"/>
    <x v="8"/>
    <n v="5"/>
    <s v="Mahaveer Medi Sales"/>
    <x v="21"/>
    <n v="25.636363636363633"/>
    <n v="28.2"/>
    <n v="148.06"/>
    <n v="2.5636363636363662"/>
    <n v="12.818181818181831"/>
  </r>
  <r>
    <n v="421"/>
    <s v="NMF E Lip Care"/>
    <x v="0"/>
    <n v="2"/>
    <s v="Mahaveer Medi Sales"/>
    <x v="21"/>
    <n v="122.64545454545453"/>
    <n v="134.91"/>
    <n v="308.85000000000002"/>
    <n v="12.26454545454547"/>
    <n v="24.529090909090939"/>
  </r>
  <r>
    <n v="422"/>
    <s v="Udcament Susp "/>
    <x v="4"/>
    <n v="1"/>
    <s v="Mahaveer Medi Sales"/>
    <x v="21"/>
    <n v="270.12727272727267"/>
    <n v="297.14"/>
    <n v="302.64999999999998"/>
    <n v="27.012727272727318"/>
    <n v="27.012727272727318"/>
  </r>
  <r>
    <n v="423"/>
    <s v="Udcament Susp "/>
    <x v="4"/>
    <n v="1"/>
    <s v="Mahaveer Medi Sales"/>
    <x v="21"/>
    <n v="270.12727272727267"/>
    <n v="297.14"/>
    <n v="302.64999999999998"/>
    <n v="27.012727272727318"/>
    <n v="27.012727272727318"/>
  </r>
  <r>
    <n v="424"/>
    <s v="Pankajakasthuri B/E SYP"/>
    <x v="3"/>
    <n v="1"/>
    <s v="Mahaveer Medi Sales"/>
    <x v="21"/>
    <n v="148.48181818181817"/>
    <n v="163.33000000000001"/>
    <n v="171.49"/>
    <n v="14.848181818181843"/>
    <n v="14.848181818181843"/>
  </r>
  <r>
    <n v="425"/>
    <s v="Cetaphil Moisturising"/>
    <x v="0"/>
    <n v="2"/>
    <s v="Ram Agencies"/>
    <x v="21"/>
    <n v="412.32727272727271"/>
    <n v="453.56"/>
    <n v="1038.29"/>
    <n v="41.232727272727288"/>
    <n v="82.465454545454577"/>
  </r>
  <r>
    <n v="426"/>
    <s v="Lulifin Lotion "/>
    <x v="1"/>
    <n v="1"/>
    <s v="Ram Agencies"/>
    <x v="21"/>
    <n v="161.69090909090909"/>
    <n v="177.86"/>
    <n v="181.12"/>
    <n v="16.169090909090926"/>
    <n v="16.169090909090926"/>
  </r>
  <r>
    <n v="427"/>
    <s v="Aquahance Advanced "/>
    <x v="0"/>
    <n v="1"/>
    <s v="Ram Agencies"/>
    <x v="21"/>
    <n v="600.92727272727268"/>
    <n v="661.02"/>
    <n v="756.61"/>
    <n v="60.092727272727302"/>
    <n v="60.092727272727302"/>
  </r>
  <r>
    <n v="428"/>
    <s v="Acne UV Gel"/>
    <x v="10"/>
    <n v="1"/>
    <s v="RSM Pharma"/>
    <x v="21"/>
    <n v="600.92727272727268"/>
    <n v="661.02"/>
    <n v="756.61"/>
    <n v="60.092727272727302"/>
    <n v="60.092727272727302"/>
  </r>
  <r>
    <n v="429"/>
    <s v="Fixon Cream"/>
    <x v="12"/>
    <n v="1"/>
    <s v="Ram Agencies"/>
    <x v="21"/>
    <n v="105.97272727272725"/>
    <n v="116.57"/>
    <n v="118.73"/>
    <n v="10.597272727272738"/>
    <n v="10.597272727272738"/>
  </r>
  <r>
    <n v="430"/>
    <s v="Scar KT"/>
    <x v="0"/>
    <n v="2"/>
    <s v="Ram Agencies"/>
    <x v="21"/>
    <n v="447.46363636363628"/>
    <n v="492.21"/>
    <n v="1126.77"/>
    <n v="44.746363636363697"/>
    <n v="89.492727272727393"/>
  </r>
  <r>
    <n v="431"/>
    <s v="Losakind 50 Tab"/>
    <x v="5"/>
    <n v="3"/>
    <s v="Ram Agencies"/>
    <x v="22"/>
    <n v="40.709090909090904"/>
    <n v="44.78"/>
    <n v="136.83000000000001"/>
    <n v="4.0709090909090975"/>
    <n v="12.212727272727292"/>
  </r>
  <r>
    <n v="432"/>
    <s v="Finax 1MG Tab"/>
    <x v="2"/>
    <n v="1"/>
    <s v="Ram Agencies"/>
    <x v="22"/>
    <n v="246.42727272727271"/>
    <n v="271.07"/>
    <n v="276.08"/>
    <n v="24.642727272727285"/>
    <n v="24.642727272727285"/>
  </r>
  <r>
    <n v="433"/>
    <s v="Teczine 10MG Tab"/>
    <x v="1"/>
    <n v="5"/>
    <s v="Ram Agencies"/>
    <x v="22"/>
    <n v="156.49090909090907"/>
    <n v="172.14"/>
    <n v="876.62"/>
    <n v="15.649090909090916"/>
    <n v="78.245454545454578"/>
  </r>
  <r>
    <n v="434"/>
    <s v="Demelan Cream"/>
    <x v="0"/>
    <n v="1"/>
    <s v="Ram Agencies"/>
    <x v="22"/>
    <n v="388.92727272727268"/>
    <n v="427.82"/>
    <n v="435.73"/>
    <n v="38.892727272727313"/>
    <n v="38.892727272727313"/>
  </r>
  <r>
    <n v="435"/>
    <s v="Vomikind MD 4"/>
    <x v="4"/>
    <n v="10"/>
    <s v="Ram Agencies"/>
    <x v="22"/>
    <n v="33.327272727272721"/>
    <n v="36.659999999999997"/>
    <n v="373.38"/>
    <n v="3.3327272727272756"/>
    <n v="33.327272727272756"/>
  </r>
  <r>
    <n v="436"/>
    <s v="Olmecip H Tab"/>
    <x v="5"/>
    <n v="2"/>
    <s v="Ram Agencies"/>
    <x v="22"/>
    <n v="111.89090909090908"/>
    <n v="123.08"/>
    <n v="250.72"/>
    <n v="11.189090909090922"/>
    <n v="22.378181818181844"/>
  </r>
  <r>
    <n v="437"/>
    <s v="Stemetil MD Tab"/>
    <x v="8"/>
    <n v="5"/>
    <s v="Ram Agencies"/>
    <x v="22"/>
    <n v="123.36363636363635"/>
    <n v="135.69999999999999"/>
    <n v="691.05"/>
    <n v="12.336363636363643"/>
    <n v="61.681818181818215"/>
  </r>
  <r>
    <n v="438"/>
    <s v="Clohex ADS M/Wash"/>
    <x v="2"/>
    <n v="3"/>
    <s v="Ram Agencies"/>
    <x v="22"/>
    <n v="187.49999999999997"/>
    <n v="206.25"/>
    <n v="630.19000000000005"/>
    <n v="18.750000000000028"/>
    <n v="56.250000000000085"/>
  </r>
  <r>
    <n v="439"/>
    <s v="Fixon Powder"/>
    <x v="12"/>
    <n v="2"/>
    <s v="Ram Agencies"/>
    <x v="22"/>
    <n v="36.709090909090911"/>
    <n v="40.380000000000003"/>
    <n v="82.26"/>
    <n v="3.6709090909090918"/>
    <n v="7.3418181818181836"/>
  </r>
  <r>
    <n v="440"/>
    <s v="Orsl Apple"/>
    <x v="11"/>
    <n v="25"/>
    <s v="Ram Agencies"/>
    <x v="22"/>
    <n v="27.218181818181819"/>
    <n v="29.94"/>
    <n v="785.92"/>
    <n v="2.7218181818181826"/>
    <n v="68.045454545454561"/>
  </r>
  <r>
    <n v="441"/>
    <s v="Eberfine XL Cream"/>
    <x v="1"/>
    <n v="3"/>
    <s v="Avenues Pharma "/>
    <x v="22"/>
    <n v="334.41818181818178"/>
    <n v="367.86"/>
    <n v="1123.99"/>
    <n v="33.441818181818235"/>
    <n v="100.3254545454547"/>
  </r>
  <r>
    <n v="442"/>
    <s v="Lomotil 20 Tab"/>
    <x v="4"/>
    <n v="3"/>
    <s v="Avenues Pharma "/>
    <x v="22"/>
    <n v="19.963636363636361"/>
    <n v="21.96"/>
    <n v="67.099999999999994"/>
    <n v="1.9963636363636397"/>
    <n v="5.989090909090919"/>
  </r>
  <r>
    <n v="443"/>
    <s v="Elfri Lotion"/>
    <x v="0"/>
    <n v="1"/>
    <s v="Avenues Pharma "/>
    <x v="22"/>
    <n v="575.65454545454543"/>
    <n v="633.22"/>
    <n v="724.78"/>
    <n v="57.5654545454546"/>
    <n v="57.5654545454546"/>
  </r>
  <r>
    <n v="444"/>
    <s v="Hhfexo 180 Tabs"/>
    <x v="1"/>
    <n v="6"/>
    <s v="Avenues Pharma "/>
    <x v="22"/>
    <n v="120.12727272727271"/>
    <n v="132.13999999999999"/>
    <n v="807.51"/>
    <n v="12.012727272727275"/>
    <n v="72.076363636363652"/>
  </r>
  <r>
    <n v="445"/>
    <s v="Benzonix -XL Gel Wash"/>
    <x v="0"/>
    <n v="1"/>
    <s v="Avenues Pharma "/>
    <x v="22"/>
    <n v="198.09090909090909"/>
    <n v="217.9"/>
    <n v="221.92"/>
    <n v="19.809090909090912"/>
    <n v="19.809090909090912"/>
  </r>
  <r>
    <n v="446"/>
    <s v="Seb Baby Lotion With Pump"/>
    <x v="7"/>
    <n v="1"/>
    <s v="Avenues Pharma "/>
    <x v="22"/>
    <n v="1040.0636363636363"/>
    <n v="1144.07"/>
    <n v="1350.01"/>
    <n v="104.00636363636363"/>
    <n v="104.00636363636363"/>
  </r>
  <r>
    <n v="447"/>
    <s v="Inderal LA 40MG Tab"/>
    <x v="5"/>
    <n v="2"/>
    <s v="Tulsi Corporation"/>
    <x v="23"/>
    <n v="35.709090909090911"/>
    <n v="39.28"/>
    <n v="79.98"/>
    <n v="3.5709090909090904"/>
    <n v="7.1418181818181807"/>
  </r>
  <r>
    <n v="448"/>
    <s v="Onabest SD 30ML Lotion"/>
    <x v="1"/>
    <n v="1"/>
    <s v="Tulsi Corporation"/>
    <x v="23"/>
    <n v="245.45454545454544"/>
    <n v="270"/>
    <n v="275"/>
    <n v="24.545454545454561"/>
    <n v="24.545454545454561"/>
  </r>
  <r>
    <n v="449"/>
    <s v="Nohives Tab"/>
    <x v="1"/>
    <n v="3"/>
    <s v="Tulsi Corporation"/>
    <x v="23"/>
    <n v="75.972727272727255"/>
    <n v="83.57"/>
    <n v="212.79"/>
    <n v="7.5972727272727383"/>
    <n v="22.791818181818215"/>
  </r>
  <r>
    <n v="450"/>
    <s v="Aquahance Mois Soap"/>
    <x v="0"/>
    <n v="2"/>
    <s v="Tulsi Corporation"/>
    <x v="23"/>
    <n v="169.49090909090907"/>
    <n v="186.44"/>
    <n v="379.76"/>
    <n v="16.949090909090927"/>
    <n v="33.898181818181854"/>
  </r>
  <r>
    <n v="451"/>
    <s v="Atogla Skin Lotion"/>
    <x v="0"/>
    <n v="1"/>
    <s v="Tulsi Corporation"/>
    <x v="23"/>
    <n v="391.37272727272722"/>
    <n v="430.51"/>
    <n v="492.79"/>
    <n v="39.137272727272773"/>
    <n v="39.137272727272773"/>
  </r>
  <r>
    <n v="452"/>
    <s v="Ultitar CS Lotion "/>
    <x v="0"/>
    <n v="3"/>
    <s v="Tulsi Corporation"/>
    <x v="23"/>
    <n v="388.96363636363634"/>
    <n v="427.86"/>
    <n v="871.52"/>
    <n v="38.896363636363674"/>
    <n v="116.68909090909102"/>
  </r>
  <r>
    <n v="453"/>
    <s v="Nicotex 2 Mint S/F"/>
    <x v="12"/>
    <n v="1"/>
    <s v="Tulsi Corporation"/>
    <x v="23"/>
    <n v="75.86363636363636"/>
    <n v="83.45"/>
    <n v="95.54"/>
    <n v="7.5863636363636431"/>
    <n v="7.5863636363636431"/>
  </r>
  <r>
    <n v="454"/>
    <s v="Nicotex 2 Mint S/F"/>
    <x v="12"/>
    <n v="1"/>
    <s v="Tulsi Corporation"/>
    <x v="23"/>
    <n v="75.86363636363636"/>
    <n v="83.45"/>
    <n v="95.54"/>
    <n v="7.5863636363636431"/>
    <n v="7.5863636363636431"/>
  </r>
  <r>
    <n v="455"/>
    <s v="Lopamide 10 Tabs"/>
    <x v="4"/>
    <n v="2"/>
    <s v="Tulsi Corporation"/>
    <x v="23"/>
    <n v="16.827272727272728"/>
    <n v="18.510000000000002"/>
    <n v="37.72"/>
    <n v="1.6827272727272735"/>
    <n v="3.365454545454547"/>
  </r>
  <r>
    <n v="456"/>
    <s v="Glowzex Foaming Facewash"/>
    <x v="0"/>
    <n v="12"/>
    <s v="Santhosh Enterprises"/>
    <x v="23"/>
    <n v="319.91818181818184"/>
    <n v="351.91"/>
    <n v="3519.1"/>
    <n v="31.991818181818189"/>
    <n v="383.90181818181827"/>
  </r>
  <r>
    <n v="457"/>
    <s v="Lulizex Spray "/>
    <x v="1"/>
    <n v="12"/>
    <s v="Santhosh Enterprises"/>
    <x v="23"/>
    <n v="279.21818181818179"/>
    <n v="307.14"/>
    <n v="3071.4"/>
    <n v="27.921818181818196"/>
    <n v="335.06181818181835"/>
  </r>
  <r>
    <n v="458"/>
    <s v="Ketozex Cream"/>
    <x v="1"/>
    <n v="24"/>
    <s v="Santhosh Enterprises"/>
    <x v="23"/>
    <n v="100.64545454545453"/>
    <n v="110.71"/>
    <n v="2214.1999999999998"/>
    <n v="10.064545454545467"/>
    <n v="241.54909090909121"/>
  </r>
  <r>
    <n v="459"/>
    <s v="Eberzex Cream"/>
    <x v="1"/>
    <n v="12"/>
    <s v="Santhosh Enterprises"/>
    <x v="23"/>
    <n v="126.62727272727271"/>
    <n v="139.29"/>
    <n v="1392.9"/>
    <n v="12.662727272727281"/>
    <n v="151.95272727272737"/>
  </r>
  <r>
    <n v="460"/>
    <s v="Gentle Baby Soap "/>
    <x v="7"/>
    <n v="5"/>
    <s v="Ram Agencies"/>
    <x v="24"/>
    <n v="43.645454545454541"/>
    <n v="48.01"/>
    <n v="247.01"/>
    <n v="4.3645454545454569"/>
    <n v="21.822727272727285"/>
  </r>
  <r>
    <n v="461"/>
    <s v="Warren Orthodontic"/>
    <x v="2"/>
    <n v="8"/>
    <s v="Ram Agencies"/>
    <x v="24"/>
    <n v="107.36363636363635"/>
    <n v="118.1"/>
    <n v="962.28"/>
    <n v="10.736363636363649"/>
    <n v="85.89090909090919"/>
  </r>
  <r>
    <n v="462"/>
    <s v="Becadexamin Caps"/>
    <x v="11"/>
    <n v="1"/>
    <s v="Ram Agencies"/>
    <x v="24"/>
    <n v="84"/>
    <n v="92.4"/>
    <n v="94.11"/>
    <n v="8.4000000000000057"/>
    <n v="8.4000000000000057"/>
  </r>
  <r>
    <n v="463"/>
    <s v="Mederma Advanced Plus"/>
    <x v="0"/>
    <n v="2"/>
    <s v="Ram Agencies"/>
    <x v="24"/>
    <n v="212.19090909090906"/>
    <n v="233.41"/>
    <n v="550.84"/>
    <n v="21.219090909090937"/>
    <n v="42.438181818181874"/>
  </r>
  <r>
    <n v="464"/>
    <s v="Medomol SP Tabs"/>
    <x v="8"/>
    <n v="10"/>
    <s v="Ram Agencies"/>
    <x v="24"/>
    <n v="81.818181818181813"/>
    <n v="90"/>
    <n v="916.66"/>
    <n v="8.181818181818187"/>
    <n v="81.81818181818187"/>
  </r>
  <r>
    <n v="465"/>
    <s v="BX Shampoo"/>
    <x v="2"/>
    <n v="1"/>
    <s v="Ram Agencies"/>
    <x v="24"/>
    <n v="350.36363636363632"/>
    <n v="385.4"/>
    <n v="392.54"/>
    <n v="35.03636363636366"/>
    <n v="35.03636363636366"/>
  </r>
  <r>
    <n v="466"/>
    <s v="Ziglim MV 2 Tabs"/>
    <x v="9"/>
    <n v="4"/>
    <s v="Ram Agencies"/>
    <x v="24"/>
    <n v="91.881818181818161"/>
    <n v="101.07"/>
    <n v="411.75"/>
    <n v="9.1881818181818318"/>
    <n v="36.752727272727327"/>
  </r>
  <r>
    <n v="467"/>
    <s v="Neptaz 50MG Tab"/>
    <x v="8"/>
    <n v="2"/>
    <s v="Ram Agencies"/>
    <x v="24"/>
    <n v="228.99090909090907"/>
    <n v="251.89"/>
    <n v="513.11"/>
    <n v="22.899090909090916"/>
    <n v="45.798181818181831"/>
  </r>
  <r>
    <n v="468"/>
    <s v="Lubrex Eye Drops"/>
    <x v="2"/>
    <n v="2"/>
    <s v="Ram Agencies"/>
    <x v="24"/>
    <n v="90.945454545454538"/>
    <n v="100.04"/>
    <n v="203.78"/>
    <n v="9.094545454545468"/>
    <n v="18.189090909090936"/>
  </r>
  <r>
    <n v="469"/>
    <s v="Trfy Cream"/>
    <x v="1"/>
    <n v="1"/>
    <s v="Ram Agencies"/>
    <x v="24"/>
    <n v="58.263636363636365"/>
    <n v="64.09"/>
    <n v="65.27"/>
    <n v="5.826363636363638"/>
    <n v="5.826363636363638"/>
  </r>
  <r>
    <n v="470"/>
    <s v="Tribet 2 Tabs"/>
    <x v="9"/>
    <n v="4"/>
    <s v="Ram Agencies"/>
    <x v="24"/>
    <n v="260.42727272727274"/>
    <n v="286.47000000000003"/>
    <n v="1167.08"/>
    <n v="26.042727272727291"/>
    <n v="104.17090909090916"/>
  </r>
  <r>
    <n v="471"/>
    <s v="Xerina Cream"/>
    <x v="0"/>
    <n v="1"/>
    <s v="Ram Agencies"/>
    <x v="24"/>
    <n v="300.15454545454543"/>
    <n v="330.17"/>
    <n v="377.9"/>
    <n v="30.015454545454588"/>
    <n v="30.015454545454588"/>
  </r>
  <r>
    <n v="472"/>
    <s v="Zole Skin Oint"/>
    <x v="1"/>
    <n v="1"/>
    <s v="Ram Agencies"/>
    <x v="24"/>
    <n v="48.699999999999996"/>
    <n v="53.57"/>
    <n v="54.56"/>
    <n v="4.8700000000000045"/>
    <n v="4.8700000000000045"/>
  </r>
  <r>
    <n v="473"/>
    <s v="Stamlo T Tabs"/>
    <x v="5"/>
    <n v="3"/>
    <s v="Ram Agencies"/>
    <x v="24"/>
    <n v="148.20909090909089"/>
    <n v="163.03"/>
    <n v="498.14"/>
    <n v="14.820909090909112"/>
    <n v="44.462727272727335"/>
  </r>
  <r>
    <n v="474"/>
    <s v="Mahacef 200"/>
    <x v="1"/>
    <n v="1"/>
    <s v="Ram Agencies"/>
    <x v="24"/>
    <n v="68.654545454545442"/>
    <n v="75.52"/>
    <n v="76.91"/>
    <n v="6.8654545454545541"/>
    <n v="6.8654545454545541"/>
  </r>
  <r>
    <n v="475"/>
    <s v="Aten 50MG Tab"/>
    <x v="5"/>
    <n v="6"/>
    <s v="Ram Agencies"/>
    <x v="24"/>
    <n v="24.381818181818179"/>
    <n v="26.82"/>
    <n v="163.89"/>
    <n v="2.4381818181818211"/>
    <n v="14.629090909090927"/>
  </r>
  <r>
    <n v="476"/>
    <s v="Duphalac Syrup"/>
    <x v="4"/>
    <n v="1"/>
    <s v="Ram Agencies"/>
    <x v="24"/>
    <n v="227.27272727272725"/>
    <n v="250"/>
    <n v="254.62"/>
    <n v="22.727272727272748"/>
    <n v="22.727272727272748"/>
  </r>
  <r>
    <n v="477"/>
    <s v="Kofarest SYP"/>
    <x v="3"/>
    <n v="1"/>
    <s v="Ram Agencies"/>
    <x v="24"/>
    <n v="107.07272727272726"/>
    <n v="117.78"/>
    <n v="119.97"/>
    <n v="10.707272727272738"/>
    <n v="10.707272727272738"/>
  </r>
  <r>
    <n v="478"/>
    <s v="Thyronorm 100"/>
    <x v="11"/>
    <n v="2"/>
    <s v="Ram Agencies"/>
    <x v="24"/>
    <n v="116.92727272727272"/>
    <n v="128.62"/>
    <n v="262"/>
    <n v="11.692727272727282"/>
    <n v="23.385454545454564"/>
  </r>
  <r>
    <n v="479"/>
    <s v="P-250 Suspension"/>
    <x v="8"/>
    <n v="5"/>
    <s v="Ram Agencies"/>
    <x v="24"/>
    <n v="29.672727272727272"/>
    <n v="32.64"/>
    <n v="166.22"/>
    <n v="2.9672727272727286"/>
    <n v="14.836363636363643"/>
  </r>
  <r>
    <n v="480"/>
    <s v="Telmikind AM Tab"/>
    <x v="5"/>
    <n v="12"/>
    <s v="Ram Agencies"/>
    <x v="24"/>
    <n v="54.209090909090904"/>
    <n v="59.63"/>
    <n v="728.79"/>
    <n v="5.4209090909090989"/>
    <n v="65.050909090909187"/>
  </r>
  <r>
    <n v="481"/>
    <s v="Propysalic NF6 Ointment"/>
    <x v="1"/>
    <n v="6"/>
    <s v="Ram Agencies"/>
    <x v="24"/>
    <n v="135.71818181818179"/>
    <n v="149.29"/>
    <n v="912.31"/>
    <n v="13.571818181818202"/>
    <n v="81.430909090909211"/>
  </r>
  <r>
    <n v="482"/>
    <s v="Candiforce 200 Caps"/>
    <x v="1"/>
    <n v="4"/>
    <s v="Ram Agencies"/>
    <x v="24"/>
    <n v="163.63636363636363"/>
    <n v="180"/>
    <n v="733.32"/>
    <n v="16.363636363636374"/>
    <n v="65.454545454545496"/>
  </r>
  <r>
    <n v="483"/>
    <s v="Huminsulin 30/70"/>
    <x v="9"/>
    <n v="2"/>
    <s v="Ram Agencies"/>
    <x v="24"/>
    <n v="128.72727272727272"/>
    <n v="141.6"/>
    <n v="291.42"/>
    <n v="12.872727272727275"/>
    <n v="25.74545454545455"/>
  </r>
  <r>
    <n v="484"/>
    <s v="Anaboom Pro Serum"/>
    <x v="2"/>
    <n v="1"/>
    <s v="RSM Pharma"/>
    <x v="25"/>
    <n v="856.70909090909083"/>
    <n v="942.38"/>
    <n v="1078.6500000000001"/>
    <n v="85.670909090909163"/>
    <n v="85.670909090909163"/>
  </r>
  <r>
    <n v="485"/>
    <s v="Cuticlair Anti Acne Soap"/>
    <x v="0"/>
    <n v="1"/>
    <s v="RSM Pharma"/>
    <x v="25"/>
    <n v="186.91818181818181"/>
    <n v="205.61"/>
    <n v="209.42"/>
    <n v="18.691818181818206"/>
    <n v="18.691818181818206"/>
  </r>
  <r>
    <n v="486"/>
    <s v="Practin 4MG Tab"/>
    <x v="1"/>
    <n v="10"/>
    <s v="RSM Pharma"/>
    <x v="25"/>
    <n v="30.518181818181816"/>
    <n v="33.57"/>
    <n v="341.91"/>
    <n v="3.0518181818181844"/>
    <n v="30.518181818181844"/>
  </r>
  <r>
    <n v="487"/>
    <s v="Cosglo New Cream"/>
    <x v="0"/>
    <n v="1"/>
    <s v="RSM Pharma"/>
    <x v="25"/>
    <n v="426.49999999999994"/>
    <n v="469.15"/>
    <n v="537"/>
    <n v="42.650000000000034"/>
    <n v="42.650000000000034"/>
  </r>
  <r>
    <n v="488"/>
    <s v="AB Next Gel"/>
    <x v="8"/>
    <n v="1"/>
    <s v="RSM Pharma"/>
    <x v="25"/>
    <n v="332.22727272727269"/>
    <n v="365.45"/>
    <n v="372.21"/>
    <n v="33.222727272727298"/>
    <n v="33.222727272727298"/>
  </r>
  <r>
    <n v="489"/>
    <s v="Glyciphage G1"/>
    <x v="9"/>
    <n v="3"/>
    <s v="RSM Pharma"/>
    <x v="25"/>
    <n v="60.645454545454534"/>
    <n v="66.709999999999994"/>
    <n v="203.83"/>
    <n v="6.0645454545454598"/>
    <n v="18.193636363636379"/>
  </r>
  <r>
    <n v="490"/>
    <s v="Zincovit Syrup"/>
    <x v="11"/>
    <n v="1"/>
    <s v="RSM Pharma"/>
    <x v="25"/>
    <n v="110.93636363636362"/>
    <n v="122.03"/>
    <n v="124.29"/>
    <n v="11.093636363636378"/>
    <n v="11.093636363636378"/>
  </r>
  <r>
    <n v="491"/>
    <s v="Alerid Syrup"/>
    <x v="1"/>
    <n v="11"/>
    <s v="RSM Pharma"/>
    <x v="25"/>
    <n v="29.227272727272723"/>
    <n v="32.15"/>
    <n v="360.2"/>
    <n v="2.9227272727272755"/>
    <n v="32.150000000000034"/>
  </r>
  <r>
    <n v="492"/>
    <s v="Tarich Lotion"/>
    <x v="0"/>
    <n v="3"/>
    <s v="RSM Pharma"/>
    <x v="25"/>
    <n v="418.83636363636361"/>
    <n v="460.72"/>
    <n v="1407.74"/>
    <n v="41.883636363636413"/>
    <n v="125.65090909090924"/>
  </r>
  <r>
    <n v="493"/>
    <s v="KLM D3 Nano Shots"/>
    <x v="11"/>
    <n v="4"/>
    <s v="RSM Pharma"/>
    <x v="25"/>
    <n v="53.25454545454545"/>
    <n v="58.58"/>
    <n v="238.65"/>
    <n v="5.3254545454545479"/>
    <n v="21.301818181818192"/>
  </r>
  <r>
    <n v="494"/>
    <s v="Tressgain Serum"/>
    <x v="2"/>
    <n v="3"/>
    <s v="Sri Vignesh Pharma"/>
    <x v="25"/>
    <n v="923.92727272727268"/>
    <n v="1016.32"/>
    <n v="3048.96"/>
    <n v="92.39272727272737"/>
    <n v="277.17818181818211"/>
  </r>
  <r>
    <n v="495"/>
    <s v="Tressgain Serum"/>
    <x v="2"/>
    <n v="2"/>
    <s v="Sri Vignesh Pharma"/>
    <x v="25"/>
    <n v="923.92727272727268"/>
    <n v="1016.32"/>
    <n v="2032.64"/>
    <n v="92.39272727272737"/>
    <n v="184.78545454545474"/>
  </r>
  <r>
    <n v="496"/>
    <s v="Sporamiz SB 130 Caos"/>
    <x v="1"/>
    <n v="50"/>
    <s v="Medline Distributors"/>
    <x v="26"/>
    <n v="188.30909090909088"/>
    <n v="207.14"/>
    <n v="10548.61"/>
    <n v="18.830909090909103"/>
    <n v="941.54545454545519"/>
  </r>
  <r>
    <n v="497"/>
    <s v="Minfin NX 5% "/>
    <x v="2"/>
    <n v="5"/>
    <s v="Medline Distributors"/>
    <x v="26"/>
    <n v="616.88181818181818"/>
    <n v="678.57"/>
    <n v="3455.62"/>
    <n v="61.688181818181874"/>
    <n v="308.44090909090937"/>
  </r>
  <r>
    <n v="498"/>
    <s v="Flomist Nasal Spray"/>
    <x v="3"/>
    <n v="1"/>
    <s v="RSM Pharma"/>
    <x v="26"/>
    <n v="334.0454545454545"/>
    <n v="367.45"/>
    <n v="374.25"/>
    <n v="33.404545454545485"/>
    <n v="33.404545454545485"/>
  </r>
  <r>
    <n v="499"/>
    <s v="MX S Topical Solution"/>
    <x v="2"/>
    <n v="2"/>
    <s v="RSM Pharma"/>
    <x v="26"/>
    <n v="646.1"/>
    <n v="710.71"/>
    <n v="1447.72"/>
    <n v="64.610000000000014"/>
    <n v="129.22000000000003"/>
  </r>
  <r>
    <n v="500"/>
    <s v="Dermadew Aloe Plus"/>
    <x v="0"/>
    <n v="1"/>
    <s v="RSM Pharma"/>
    <x v="26"/>
    <n v="155.31818181818181"/>
    <n v="170.85"/>
    <n v="195.54"/>
    <n v="15.531818181818181"/>
    <n v="15.531818181818181"/>
  </r>
  <r>
    <n v="501"/>
    <s v="Propysalic NF Ointment"/>
    <x v="1"/>
    <n v="1"/>
    <s v="RSM Pharma"/>
    <x v="26"/>
    <n v="181.17272727272726"/>
    <n v="199.29"/>
    <n v="202.97"/>
    <n v="18.117272727272734"/>
    <n v="18.117272727272734"/>
  </r>
  <r>
    <n v="502"/>
    <s v="GP 3MG Tab"/>
    <x v="9"/>
    <n v="2"/>
    <s v="RSM Pharma"/>
    <x v="26"/>
    <n v="98.381818181818176"/>
    <n v="108.22"/>
    <n v="220.45"/>
    <n v="9.8381818181818232"/>
    <n v="19.676363636363646"/>
  </r>
  <r>
    <n v="503"/>
    <s v="Glucoryl MV2 Tab 15'S"/>
    <x v="9"/>
    <n v="4"/>
    <s v="RSM Pharma"/>
    <x v="26"/>
    <n v="240.24545454545452"/>
    <n v="264.27"/>
    <n v="1076.6300000000001"/>
    <n v="24.024545454545461"/>
    <n v="96.098181818181843"/>
  </r>
  <r>
    <n v="504"/>
    <s v="Tazloc Beta 50MG Tab"/>
    <x v="5"/>
    <n v="1"/>
    <s v="RSM Pharma"/>
    <x v="26"/>
    <n v="143.11818181818182"/>
    <n v="157.43"/>
    <n v="160.35"/>
    <n v="14.311818181818182"/>
    <n v="14.311818181818182"/>
  </r>
  <r>
    <n v="505"/>
    <s v="T Bact Oint 15GM"/>
    <x v="1"/>
    <n v="2"/>
    <s v="RSM Pharma"/>
    <x v="26"/>
    <n v="225.16363636363636"/>
    <n v="247.68"/>
    <n v="504.52"/>
    <n v="22.51636363636365"/>
    <n v="45.0327272727273"/>
  </r>
  <r>
    <n v="506"/>
    <s v="Cobadex CZS Tab"/>
    <x v="11"/>
    <n v="7"/>
    <s v="RSM Pharma"/>
    <x v="26"/>
    <n v="80.645454545454527"/>
    <n v="88.71"/>
    <n v="591.79999999999995"/>
    <n v="8.0645454545454669"/>
    <n v="56.451818181818268"/>
  </r>
  <r>
    <n v="507"/>
    <s v="Rantac 300MG Tab"/>
    <x v="4"/>
    <n v="5"/>
    <s v="RSM Pharma"/>
    <x v="26"/>
    <n v="67.718181818181804"/>
    <n v="74.489999999999995"/>
    <n v="341.4"/>
    <n v="6.7718181818181904"/>
    <n v="33.859090909090952"/>
  </r>
  <r>
    <n v="508"/>
    <s v="Regabipo Spray "/>
    <x v="2"/>
    <n v="1"/>
    <s v="RSM Pharma"/>
    <x v="26"/>
    <n v="307.5545454545454"/>
    <n v="338.31"/>
    <n v="387.22"/>
    <n v="30.755454545454597"/>
    <n v="30.755454545454597"/>
  </r>
  <r>
    <n v="509"/>
    <s v="Ifin 250MG Tab"/>
    <x v="1"/>
    <n v="1"/>
    <s v="RSM Pharma"/>
    <x v="26"/>
    <n v="91.236363636363635"/>
    <n v="100.36"/>
    <n v="102.21"/>
    <n v="9.1236363636363649"/>
    <n v="9.1236363636363649"/>
  </r>
  <r>
    <n v="510"/>
    <s v="Cuticlair ADV Foam Face Wash"/>
    <x v="0"/>
    <n v="5"/>
    <s v="RSM Pharma"/>
    <x v="26"/>
    <n v="411.86363636363632"/>
    <n v="453.05"/>
    <n v="2592.81"/>
    <n v="41.186363636363694"/>
    <n v="205.93181818181847"/>
  </r>
  <r>
    <n v="511"/>
    <s v="Cardace 2.5MG Tab"/>
    <x v="5"/>
    <n v="2"/>
    <s v="RSM Pharma"/>
    <x v="26"/>
    <n v="56.836363636363636"/>
    <n v="62.52"/>
    <n v="127.36"/>
    <n v="5.6836363636363672"/>
    <n v="11.367272727272734"/>
  </r>
  <r>
    <n v="512"/>
    <s v="Daparyl V 10/100 Tab"/>
    <x v="9"/>
    <n v="1"/>
    <s v="RSM Pharma"/>
    <x v="26"/>
    <n v="133.44545454545454"/>
    <n v="146.79"/>
    <n v="149.51"/>
    <n v="13.344545454545454"/>
    <n v="13.344545454545454"/>
  </r>
  <r>
    <n v="513"/>
    <s v="Eberfine XL Cream"/>
    <x v="1"/>
    <n v="3"/>
    <s v="RSM Pharma"/>
    <x v="27"/>
    <n v="334.41818181818178"/>
    <n v="367.86"/>
    <n v="1123.99"/>
    <n v="33.441818181818235"/>
    <n v="100.3254545454547"/>
  </r>
  <r>
    <n v="514"/>
    <s v="Gabapin ME 100MG Tab"/>
    <x v="8"/>
    <n v="2"/>
    <s v="RSM Pharma"/>
    <x v="27"/>
    <n v="139.6090909090909"/>
    <n v="153.57"/>
    <n v="312.83"/>
    <n v="13.960909090909098"/>
    <n v="27.921818181818196"/>
  </r>
  <r>
    <n v="515"/>
    <s v="Hhomega + Cap"/>
    <x v="11"/>
    <n v="6"/>
    <s v="RSM Pharma"/>
    <x v="27"/>
    <n v="141.76363636363635"/>
    <n v="155.94"/>
    <n v="952.95"/>
    <n v="14.176363636363646"/>
    <n v="85.058181818181879"/>
  </r>
  <r>
    <n v="516"/>
    <s v="Hhsalic 6 Oint"/>
    <x v="1"/>
    <n v="2"/>
    <s v="RSM Pharma"/>
    <x v="27"/>
    <n v="159.09090909090907"/>
    <n v="175"/>
    <n v="356.48"/>
    <n v="15.909090909090935"/>
    <n v="31.81818181818187"/>
  </r>
  <r>
    <n v="517"/>
    <s v="Hhlevo 5MG Tab"/>
    <x v="1"/>
    <n v="2"/>
    <s v="RSM Pharma"/>
    <x v="27"/>
    <n v="59.736363636363627"/>
    <n v="65.709999999999994"/>
    <n v="133.86000000000001"/>
    <n v="5.9736363636363663"/>
    <n v="11.947272727272733"/>
  </r>
  <r>
    <n v="518"/>
    <s v="LZHH Cream"/>
    <x v="1"/>
    <n v="1"/>
    <s v="RSM Pharma"/>
    <x v="27"/>
    <n v="165.58181818181816"/>
    <n v="182.14"/>
    <n v="185.52"/>
    <n v="16.558181818181822"/>
    <n v="16.558181818181822"/>
  </r>
  <r>
    <n v="519"/>
    <s v="Mintop Eva Solution"/>
    <x v="2"/>
    <n v="1"/>
    <s v="RSM Pharma"/>
    <x v="27"/>
    <n v="850.80909090909086"/>
    <n v="935.89"/>
    <n v="953.21"/>
    <n v="85.080909090909131"/>
    <n v="85.080909090909131"/>
  </r>
  <r>
    <n v="520"/>
    <s v="VildaPride DM 1000MG Tab"/>
    <x v="9"/>
    <n v="3"/>
    <s v="RSM Pharma"/>
    <x v="27"/>
    <n v="118.71818181818182"/>
    <n v="130.59"/>
    <n v="399.02"/>
    <n v="11.871818181818185"/>
    <n v="35.615454545454554"/>
  </r>
  <r>
    <n v="521"/>
    <s v="KZ Plus Medicated Soap"/>
    <x v="1"/>
    <n v="3"/>
    <s v="RSM Pharma"/>
    <x v="27"/>
    <n v="122.03636363636363"/>
    <n v="134.24"/>
    <n v="410.18"/>
    <n v="12.203636363636377"/>
    <n v="36.610909090909132"/>
  </r>
  <r>
    <n v="522"/>
    <s v="Cutihance Women Tab"/>
    <x v="11"/>
    <n v="1"/>
    <s v="RSM Pharma"/>
    <x v="27"/>
    <n v="416.0272727272727"/>
    <n v="457.63"/>
    <n v="466.1"/>
    <n v="41.602727272727293"/>
    <n v="41.602727272727293"/>
  </r>
  <r>
    <n v="523"/>
    <s v="Lecmon-AX Tab"/>
    <x v="1"/>
    <n v="5"/>
    <s v="RSM Pharma"/>
    <x v="27"/>
    <n v="72.545454545454533"/>
    <n v="79.8"/>
    <n v="406.39"/>
    <n v="7.2545454545454646"/>
    <n v="36.272727272727323"/>
  </r>
  <r>
    <n v="524"/>
    <s v="Brufen 600 Tab"/>
    <x v="8"/>
    <n v="5"/>
    <s v="RSM Pharma"/>
    <x v="27"/>
    <n v="27.518181818181816"/>
    <n v="30.27"/>
    <n v="154.15"/>
    <n v="2.7518181818181837"/>
    <n v="13.759090909090919"/>
  </r>
  <r>
    <n v="525"/>
    <s v="Ezhh Cream"/>
    <x v="1"/>
    <n v="1"/>
    <s v="RSM Pharma"/>
    <x v="27"/>
    <n v="224.0272727272727"/>
    <n v="246.43"/>
    <n v="251"/>
    <n v="22.402727272727304"/>
    <n v="22.402727272727304"/>
  </r>
  <r>
    <n v="526"/>
    <s v="Tarich Lotion"/>
    <x v="0"/>
    <n v="2"/>
    <s v="RSM Pharma"/>
    <x v="27"/>
    <n v="418.83636363636361"/>
    <n v="460.72"/>
    <n v="938.5"/>
    <n v="41.883636363636413"/>
    <n v="83.767272727272825"/>
  </r>
  <r>
    <n v="527"/>
    <s v="Tressgain Serum 50GM"/>
    <x v="2"/>
    <n v="3"/>
    <s v="Sri Vignesh Pharma"/>
    <x v="27"/>
    <n v="923.92727272727268"/>
    <n v="1016.32"/>
    <n v="3048.96"/>
    <n v="92.39272727272737"/>
    <n v="277.17818181818211"/>
  </r>
  <r>
    <n v="528"/>
    <s v="Tressgain Serum 50GM"/>
    <x v="2"/>
    <n v="7"/>
    <s v="Sri Vignesh Pharma"/>
    <x v="27"/>
    <n v="923.92727272727268"/>
    <n v="1016.32"/>
    <n v="7114.24"/>
    <n v="92.39272727272737"/>
    <n v="646.74909090909159"/>
  </r>
  <r>
    <n v="529"/>
    <s v="Trichogrow Shampoo 150ML"/>
    <x v="2"/>
    <n v="4"/>
    <s v="Sri Vignesh Pharma"/>
    <x v="27"/>
    <n v="424.67272727272723"/>
    <n v="467.14"/>
    <n v="1868.56"/>
    <n v="42.467272727272757"/>
    <n v="169.86909090909103"/>
  </r>
  <r>
    <n v="530"/>
    <s v="Trichogrow Shampoo 150ML"/>
    <x v="2"/>
    <n v="6"/>
    <s v="Sri Vignesh Pharma"/>
    <x v="27"/>
    <n v="424.67272727272723"/>
    <n v="467.14"/>
    <n v="2802.84"/>
    <n v="42.467272727272757"/>
    <n v="254.80363636363654"/>
  </r>
  <r>
    <n v="531"/>
    <s v="Gentle Baby Wipes "/>
    <x v="7"/>
    <n v="1"/>
    <s v="RSM Pharma"/>
    <x v="27"/>
    <n v="134.81818181818181"/>
    <n v="148.30000000000001"/>
    <n v="175"/>
    <n v="13.481818181818198"/>
    <n v="13.481818181818198"/>
  </r>
  <r>
    <n v="534"/>
    <s v="Seb Anti Dandruff Shampoo"/>
    <x v="2"/>
    <n v="2"/>
    <s v="RSM Pharma"/>
    <x v="27"/>
    <n v="436.5090909090909"/>
    <n v="480.16"/>
    <n v="1008.34"/>
    <n v="43.650909090909124"/>
    <n v="87.301818181818248"/>
  </r>
  <r>
    <n v="535"/>
    <s v="Candid Gold Powder 100GM"/>
    <x v="1"/>
    <n v="2"/>
    <s v="RSM Pharma"/>
    <x v="27"/>
    <n v="154.21818181818179"/>
    <n v="169.64"/>
    <n v="345.56"/>
    <n v="15.421818181818196"/>
    <n v="30.843636363636392"/>
  </r>
  <r>
    <n v="536"/>
    <s v="Turby D SYP"/>
    <x v="3"/>
    <n v="1"/>
    <s v="RSM Pharma"/>
    <x v="27"/>
    <n v="83.763636363636351"/>
    <n v="92.14"/>
    <n v="93.84"/>
    <n v="8.3763636363636493"/>
    <n v="8.3763636363636493"/>
  </r>
  <r>
    <n v="537"/>
    <s v="Sporamiz 200MG Caps"/>
    <x v="1"/>
    <n v="1"/>
    <s v="RSM Pharma"/>
    <x v="27"/>
    <n v="160.87272727272727"/>
    <n v="176.96"/>
    <n v="180.23"/>
    <n v="16.087272727272733"/>
    <n v="16.087272727272733"/>
  </r>
  <r>
    <n v="538"/>
    <s v="LA Shield IR Gel "/>
    <x v="10"/>
    <n v="1"/>
    <s v="RSM Pharma"/>
    <x v="27"/>
    <n v="604.62727272727273"/>
    <n v="665.09"/>
    <n v="761.26"/>
    <n v="60.462727272727307"/>
    <n v="60.462727272727307"/>
  </r>
  <r>
    <n v="539"/>
    <s v="Melgain 2ML"/>
    <x v="0"/>
    <n v="1"/>
    <s v="RSM Pharma"/>
    <x v="27"/>
    <n v="385.71818181818179"/>
    <n v="424.29"/>
    <n v="432.14"/>
    <n v="38.57181818181823"/>
    <n v="38.57181818181823"/>
  </r>
  <r>
    <n v="540"/>
    <s v="Sitaday DM Tab"/>
    <x v="9"/>
    <n v="1"/>
    <s v="RSM Pharma"/>
    <x v="27"/>
    <n v="213.30909090909088"/>
    <n v="234.64"/>
    <n v="238.98"/>
    <n v="21.330909090909103"/>
    <n v="21.330909090909103"/>
  </r>
  <r>
    <n v="541"/>
    <s v="Foracort 200 R/C 60'S"/>
    <x v="6"/>
    <n v="5"/>
    <s v="RSM Pharma"/>
    <x v="27"/>
    <n v="249.6"/>
    <n v="274.56"/>
    <n v="1258.3699999999999"/>
    <n v="24.960000000000008"/>
    <n v="124.80000000000004"/>
  </r>
  <r>
    <n v="542"/>
    <s v="Oaknets Photo First Cream"/>
    <x v="10"/>
    <n v="1"/>
    <s v="RSM Pharma"/>
    <x v="27"/>
    <n v="1118.6454545454544"/>
    <n v="1230.51"/>
    <n v="1408.43"/>
    <n v="111.86454545454558"/>
    <n v="111.86454545454558"/>
  </r>
  <r>
    <n v="543"/>
    <s v="Clohex ADS Liquid "/>
    <x v="2"/>
    <n v="3"/>
    <s v="RSM Pharma"/>
    <x v="27"/>
    <n v="187.49999999999997"/>
    <n v="206.25"/>
    <n v="630.19000000000005"/>
    <n v="18.750000000000028"/>
    <n v="56.250000000000085"/>
  </r>
  <r>
    <n v="544"/>
    <s v="Myoril 4MG Caps"/>
    <x v="8"/>
    <n v="2"/>
    <s v="RSM Pharma"/>
    <x v="27"/>
    <n v="207.30909090909088"/>
    <n v="228.04"/>
    <n v="464.52"/>
    <n v="20.730909090909108"/>
    <n v="41.461818181818217"/>
  </r>
  <r>
    <n v="545"/>
    <s v="Ivrea Shampoo "/>
    <x v="2"/>
    <n v="1"/>
    <s v="RSM Pharma"/>
    <x v="27"/>
    <n v="84.418181818181807"/>
    <n v="92.86"/>
    <n v="94.57"/>
    <n v="8.4418181818181921"/>
    <n v="8.4418181818181921"/>
  </r>
  <r>
    <n v="546"/>
    <s v="Nervijen Plus Injection"/>
    <x v="11"/>
    <n v="5"/>
    <s v="RSM Pharma"/>
    <x v="27"/>
    <n v="73.699999999999989"/>
    <n v="81.069999999999993"/>
    <n v="371.57"/>
    <n v="7.3700000000000045"/>
    <n v="36.850000000000023"/>
  </r>
  <r>
    <n v="547"/>
    <s v="Tiger Balm Red "/>
    <x v="8"/>
    <n v="1"/>
    <s v="RSM Pharma"/>
    <x v="27"/>
    <n v="69.236363636363635"/>
    <n v="76.16"/>
    <n v="79.959999999999994"/>
    <n v="6.923636363636362"/>
    <n v="6.923636363636362"/>
  </r>
  <r>
    <n v="548"/>
    <s v="Seb Anti Hairloss Shampoo"/>
    <x v="2"/>
    <n v="1"/>
    <s v="RSM Pharma"/>
    <x v="28"/>
    <n v="474.75454545454545"/>
    <n v="522.23"/>
    <n v="548.35"/>
    <n v="47.475454545454568"/>
    <n v="47.475454545454568"/>
  </r>
  <r>
    <n v="549"/>
    <s v="Erytop Gel"/>
    <x v="0"/>
    <n v="1"/>
    <s v="RSM Pharma"/>
    <x v="28"/>
    <n v="148.22727272727272"/>
    <n v="163.05000000000001"/>
    <n v="166.06"/>
    <n v="14.822727272727292"/>
    <n v="14.822727272727292"/>
  </r>
  <r>
    <n v="550"/>
    <s v="Sinarest New Tab"/>
    <x v="3"/>
    <n v="10"/>
    <s v="RSM Pharma"/>
    <x v="28"/>
    <n v="85.636363636363626"/>
    <n v="94.2"/>
    <n v="959.42"/>
    <n v="8.5636363636363768"/>
    <n v="85.636363636363768"/>
  </r>
  <r>
    <n v="551"/>
    <s v="Clindac A Gel"/>
    <x v="0"/>
    <n v="1"/>
    <s v="RSM Pharma"/>
    <x v="28"/>
    <n v="174.54545454545453"/>
    <n v="192"/>
    <n v="195.56"/>
    <n v="17.454545454545467"/>
    <n v="17.454545454545467"/>
  </r>
  <r>
    <n v="552"/>
    <s v="Renerve Plus Caps"/>
    <x v="8"/>
    <n v="1"/>
    <s v="RSM Pharma"/>
    <x v="28"/>
    <n v="207.55454545454543"/>
    <n v="228.31"/>
    <n v="232.54"/>
    <n v="20.755454545454569"/>
    <n v="20.755454545454569"/>
  </r>
  <r>
    <n v="553"/>
    <s v="Tedibar 75GM 2'S"/>
    <x v="0"/>
    <n v="5"/>
    <s v="RSM Pharma"/>
    <x v="28"/>
    <n v="241.59999999999997"/>
    <n v="265.76"/>
    <n v="1520.94"/>
    <n v="24.160000000000025"/>
    <n v="120.80000000000013"/>
  </r>
  <r>
    <n v="554"/>
    <s v="D Veniz 50MG Tab"/>
    <x v="8"/>
    <n v="4"/>
    <s v="RSM Pharma"/>
    <x v="28"/>
    <n v="140.90909090909091"/>
    <n v="155"/>
    <n v="631.48"/>
    <n v="14.090909090909093"/>
    <n v="56.363636363636374"/>
  </r>
  <r>
    <n v="555"/>
    <s v="Senquel AD M/Wash "/>
    <x v="2"/>
    <n v="3"/>
    <s v="RSM Pharma"/>
    <x v="28"/>
    <n v="115.41818181818181"/>
    <n v="126.96"/>
    <n v="387.93"/>
    <n v="11.541818181818186"/>
    <n v="34.625454545454559"/>
  </r>
  <r>
    <n v="556"/>
    <s v="Macbery Susp"/>
    <x v="3"/>
    <n v="1"/>
    <s v="RSM Pharma"/>
    <x v="28"/>
    <n v="85.509090909090901"/>
    <n v="94.06"/>
    <n v="95.8"/>
    <n v="8.5509090909091015"/>
    <n v="8.5509090909091015"/>
  </r>
  <r>
    <n v="557"/>
    <s v="Propysalic Plus 3% Lotion"/>
    <x v="1"/>
    <n v="2"/>
    <s v="Ram Agencies"/>
    <x v="28"/>
    <n v="71.427272727272722"/>
    <n v="78.569999999999993"/>
    <n v="160.05000000000001"/>
    <n v="7.1427272727272708"/>
    <n v="14.285454545454542"/>
  </r>
  <r>
    <n v="558"/>
    <s v="Clop S 3.5 Lotion"/>
    <x v="1"/>
    <n v="5"/>
    <s v="Ram Agencies"/>
    <x v="28"/>
    <n v="136.36363636363635"/>
    <n v="150"/>
    <n v="763.88"/>
    <n v="13.636363636363654"/>
    <n v="68.181818181818272"/>
  </r>
  <r>
    <n v="559"/>
    <s v="Propysalic Plus 6% Lotion"/>
    <x v="1"/>
    <n v="2"/>
    <s v="Ram Agencies"/>
    <x v="28"/>
    <n v="77.918181818181807"/>
    <n v="85.71"/>
    <n v="174.6"/>
    <n v="7.7918181818181864"/>
    <n v="15.583636363636373"/>
  </r>
  <r>
    <n v="560"/>
    <s v="Tenovate M Cream"/>
    <x v="1"/>
    <n v="1"/>
    <s v="Ram Agencies"/>
    <x v="28"/>
    <n v="94.872727272727261"/>
    <n v="104.36"/>
    <n v="106.29"/>
    <n v="9.4872727272727388"/>
    <n v="9.4872727272727388"/>
  </r>
  <r>
    <n v="561"/>
    <s v="Sinarest AF Drops"/>
    <x v="3"/>
    <n v="1"/>
    <s v="Ram Agencies"/>
    <x v="28"/>
    <n v="60.18181818181818"/>
    <n v="66.2"/>
    <n v="67.430000000000007"/>
    <n v="6.018181818181823"/>
    <n v="6.018181818181823"/>
  </r>
  <r>
    <n v="562"/>
    <s v="Zedex Cough Syrup"/>
    <x v="3"/>
    <n v="1"/>
    <s v="Ram Agencies"/>
    <x v="28"/>
    <n v="124.34545454545453"/>
    <n v="136.78"/>
    <n v="139.32"/>
    <n v="12.434545454545471"/>
    <n v="12.434545454545471"/>
  </r>
  <r>
    <n v="563"/>
    <s v="Duphalac Syrup"/>
    <x v="4"/>
    <n v="1"/>
    <s v="Ram Agencies"/>
    <x v="28"/>
    <n v="227.27272727272725"/>
    <n v="250"/>
    <n v="254.62"/>
    <n v="22.727272727272748"/>
    <n v="22.727272727272748"/>
  </r>
  <r>
    <n v="564"/>
    <s v="Dexona Tab"/>
    <x v="1"/>
    <n v="5"/>
    <s v="Ram Agencies"/>
    <x v="28"/>
    <n v="4.8"/>
    <n v="5.28"/>
    <n v="26.89"/>
    <n v="0.48000000000000043"/>
    <n v="2.4000000000000021"/>
  </r>
  <r>
    <n v="565"/>
    <s v="Eumosone M Cream"/>
    <x v="1"/>
    <n v="1"/>
    <s v="Ram Agencies"/>
    <x v="28"/>
    <n v="96.072727272727278"/>
    <n v="105.68"/>
    <n v="107.63"/>
    <n v="9.6072727272727292"/>
    <n v="9.6072727272727292"/>
  </r>
  <r>
    <n v="566"/>
    <s v="Betadine G 2% "/>
    <x v="12"/>
    <n v="1"/>
    <s v="Ram Agencies"/>
    <x v="28"/>
    <n v="131.81818181818181"/>
    <n v="145"/>
    <n v="147.69"/>
    <n v="13.181818181818187"/>
    <n v="13.181818181818187"/>
  </r>
  <r>
    <n v="567"/>
    <s v="Cosmelite Next Cream"/>
    <x v="0"/>
    <n v="4"/>
    <s v="Avenues Pharma "/>
    <x v="28"/>
    <n v="426.49999999999994"/>
    <n v="469.15"/>
    <n v="5369.89"/>
    <n v="42.650000000000034"/>
    <n v="170.60000000000014"/>
  </r>
  <r>
    <n v="568"/>
    <s v="Disokem Lotion"/>
    <x v="0"/>
    <n v="22"/>
    <s v="JMJ Pharma"/>
    <x v="29"/>
    <n v="202.24545454545452"/>
    <n v="222.47"/>
    <n v="4449.3999999999996"/>
    <n v="20.224545454545478"/>
    <n v="444.94000000000051"/>
  </r>
  <r>
    <n v="569"/>
    <s v="Fairvit Soap"/>
    <x v="0"/>
    <n v="33"/>
    <s v="JMJ Pharma"/>
    <x v="29"/>
    <n v="78.272727272727266"/>
    <n v="86.1"/>
    <n v="2583"/>
    <n v="7.827272727272728"/>
    <n v="258.3"/>
  </r>
  <r>
    <n v="570"/>
    <s v="Minoking-50 DT"/>
    <x v="8"/>
    <n v="11"/>
    <s v="JMJ Pharma"/>
    <x v="29"/>
    <n v="187.0090909090909"/>
    <n v="205.71"/>
    <n v="2057.1"/>
    <n v="18.700909090909107"/>
    <n v="205.71000000000018"/>
  </r>
  <r>
    <n v="571"/>
    <s v="Eberfine XL Cream"/>
    <x v="1"/>
    <n v="12"/>
    <s v="RSM Pharma"/>
    <x v="29"/>
    <n v="334.41818181818178"/>
    <n v="367.86"/>
    <n v="3746.66"/>
    <n v="33.441818181818235"/>
    <n v="401.30181818181882"/>
  </r>
  <r>
    <n v="572"/>
    <s v="Mildy Shampoo "/>
    <x v="2"/>
    <n v="1"/>
    <s v="RSM Pharma"/>
    <x v="29"/>
    <n v="138.5272727272727"/>
    <n v="152.38"/>
    <n v="155.21"/>
    <n v="13.852727272727293"/>
    <n v="13.852727272727293"/>
  </r>
  <r>
    <n v="573"/>
    <s v="Ecosprin AV 75/40 Cap"/>
    <x v="5"/>
    <n v="3"/>
    <s v="RSM Pharma"/>
    <x v="29"/>
    <n v="241.25454545454542"/>
    <n v="265.38"/>
    <n v="510.54"/>
    <n v="24.125454545454573"/>
    <n v="72.37636363636372"/>
  </r>
  <r>
    <n v="574"/>
    <s v="Picon cream "/>
    <x v="1"/>
    <n v="2"/>
    <s v="RSM Pharma"/>
    <x v="29"/>
    <n v="457.85454545454542"/>
    <n v="503.64"/>
    <n v="1025.92"/>
    <n v="45.78545454545457"/>
    <n v="91.57090909090914"/>
  </r>
  <r>
    <n v="575"/>
    <s v="Tenovate M Cream"/>
    <x v="1"/>
    <n v="1"/>
    <s v="RSM Pharma"/>
    <x v="29"/>
    <n v="78.054545454545448"/>
    <n v="85.86"/>
    <n v="87.44"/>
    <n v="7.8054545454545519"/>
    <n v="7.8054545454545519"/>
  </r>
  <r>
    <n v="576"/>
    <s v="Lorfast Meltab"/>
    <x v="1"/>
    <n v="3"/>
    <s v="RSM Pharma"/>
    <x v="29"/>
    <n v="89.609090909090895"/>
    <n v="98.57"/>
    <n v="301.18"/>
    <n v="8.960909090909098"/>
    <n v="26.882727272727294"/>
  </r>
  <r>
    <n v="577"/>
    <s v="Thyronorm 75MCG 120'S Tab"/>
    <x v="11"/>
    <n v="1"/>
    <s v="RSM Pharma"/>
    <x v="29"/>
    <n v="127.42727272727271"/>
    <n v="140.16999999999999"/>
    <n v="142.76"/>
    <n v="12.742727272727279"/>
    <n v="12.742727272727279"/>
  </r>
  <r>
    <n v="578"/>
    <s v="Kera XL Hair Growth Serum"/>
    <x v="2"/>
    <n v="1"/>
    <s v="RSM Pharma"/>
    <x v="29"/>
    <n v="857.93636363636358"/>
    <n v="943.73"/>
    <n v="1080.2"/>
    <n v="85.793636363636438"/>
    <n v="85.793636363636438"/>
  </r>
  <r>
    <n v="579"/>
    <s v="Kerabounce Shampoo"/>
    <x v="2"/>
    <n v="1"/>
    <s v="RSM Pharma"/>
    <x v="29"/>
    <n v="323.46363636363634"/>
    <n v="355.81"/>
    <n v="362.4"/>
    <n v="32.346363636363662"/>
    <n v="32.346363636363662"/>
  </r>
  <r>
    <n v="580"/>
    <s v="Torplat 60MG Tab"/>
    <x v="5"/>
    <n v="6"/>
    <s v="RSM Pharma"/>
    <x v="29"/>
    <n v="141.85454545454544"/>
    <n v="156.04"/>
    <n v="953.55"/>
    <n v="14.185454545454547"/>
    <n v="85.112727272727284"/>
  </r>
  <r>
    <n v="581"/>
    <s v="Aziderm Plus "/>
    <x v="0"/>
    <n v="1"/>
    <s v="RSM Pharma"/>
    <x v="29"/>
    <n v="422.08181818181816"/>
    <n v="464.29"/>
    <n v="472.88"/>
    <n v="42.208181818181856"/>
    <n v="42.208181818181856"/>
  </r>
  <r>
    <n v="582"/>
    <s v="Megalis D Tab"/>
    <x v="8"/>
    <n v="1"/>
    <s v="RSM Pharma"/>
    <x v="29"/>
    <n v="252.14545454545453"/>
    <n v="277.36"/>
    <n v="282.5"/>
    <n v="25.214545454545487"/>
    <n v="25.214545454545487"/>
  </r>
  <r>
    <n v="583"/>
    <s v="Oxra S Tab"/>
    <x v="9"/>
    <n v="2"/>
    <s v="RSM Pharma"/>
    <x v="29"/>
    <n v="208.44545454545451"/>
    <n v="229.29"/>
    <n v="467.06"/>
    <n v="20.844545454545482"/>
    <n v="41.689090909090964"/>
  </r>
  <r>
    <n v="584"/>
    <s v="Nebicard T Tab"/>
    <x v="5"/>
    <n v="1"/>
    <s v="RSM Pharma"/>
    <x v="29"/>
    <n v="232.40909090909091"/>
    <n v="255.65"/>
    <n v="260.38"/>
    <n v="23.240909090909099"/>
    <n v="23.240909090909099"/>
  </r>
  <r>
    <m/>
    <m/>
    <x v="14"/>
    <m/>
    <m/>
    <x v="30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n v="1"/>
    <s v="Dermadew Aloe Plus"/>
    <x v="0"/>
    <n v="1"/>
    <s v="Ram Agencies"/>
    <d v="2025-10-01T00:00:00"/>
    <n v="155.31818181818181"/>
    <n v="170.85"/>
    <n v="195.54"/>
    <n v="15.531818181818181"/>
  </r>
  <r>
    <n v="2"/>
    <s v="Triluma Cream"/>
    <x v="0"/>
    <n v="2"/>
    <s v="Ram Agencies"/>
    <d v="2025-10-01T00:00:00"/>
    <n v="546.1"/>
    <n v="600.71"/>
    <n v="1223.6400000000001"/>
    <n v="54.610000000000014"/>
  </r>
  <r>
    <n v="3"/>
    <s v="Epilyno Lotion"/>
    <x v="0"/>
    <n v="2"/>
    <s v="Ram Agencies"/>
    <d v="2025-10-01T00:00:00"/>
    <n v="323.58181818181816"/>
    <n v="355.94"/>
    <n v="814.82"/>
    <n v="32.358181818181833"/>
  </r>
  <r>
    <n v="4"/>
    <s v="Lulifin Cream"/>
    <x v="1"/>
    <n v="5"/>
    <s v="Ram Agencies"/>
    <d v="2025-10-01T00:00:00"/>
    <n v="219.48181818181817"/>
    <n v="241.43"/>
    <n v="1229.48"/>
    <n v="21.948181818181837"/>
  </r>
  <r>
    <n v="5"/>
    <s v="Aziderm Plus Cream"/>
    <x v="0"/>
    <n v="3"/>
    <s v="Ram Agencies"/>
    <d v="2025-10-01T00:00:00"/>
    <n v="225.97272727272724"/>
    <n v="248.57"/>
    <n v="759.5"/>
    <n v="22.597272727272752"/>
  </r>
  <r>
    <n v="6"/>
    <s v="Aquahance Moisture"/>
    <x v="0"/>
    <n v="1"/>
    <s v="Ram Agencies"/>
    <d v="2025-10-01T00:00:00"/>
    <n v="169.49090909090907"/>
    <n v="186.44"/>
    <n v="220"/>
    <n v="16.949090909090927"/>
  </r>
  <r>
    <n v="7"/>
    <s v="Hhzole Cream"/>
    <x v="1"/>
    <n v="1"/>
    <s v="Ram Agencies"/>
    <d v="2025-10-01T00:00:00"/>
    <n v="146.1"/>
    <n v="160.71"/>
    <n v="163.69"/>
    <n v="14.610000000000014"/>
  </r>
  <r>
    <n v="8"/>
    <s v="Hhsone Cream"/>
    <x v="1"/>
    <n v="3"/>
    <s v="Ram Agencies"/>
    <d v="2025-10-01T00:00:00"/>
    <n v="135.71818181818179"/>
    <n v="149.29"/>
    <n v="456.15"/>
    <n v="13.571818181818202"/>
  </r>
  <r>
    <n v="9"/>
    <s v="Clonate Oint"/>
    <x v="1"/>
    <n v="5"/>
    <s v="Ram Agencies"/>
    <d v="2025-10-01T00:00:00"/>
    <n v="123.37272727272727"/>
    <n v="135.71"/>
    <n v="691.09"/>
    <n v="12.337272727272733"/>
  </r>
  <r>
    <n v="10"/>
    <s v="Oflox-200 Tab"/>
    <x v="1"/>
    <n v="5"/>
    <s v="Ram Agencies"/>
    <d v="2025-10-01T00:00:00"/>
    <n v="69.581818181818178"/>
    <n v="76.540000000000006"/>
    <n v="350.8"/>
    <n v="6.9581818181818278"/>
  </r>
  <r>
    <n v="11"/>
    <s v="Ketafung CT Solution"/>
    <x v="2"/>
    <n v="1"/>
    <s v="Ram Agencies"/>
    <d v="2025-10-01T00:00:00"/>
    <n v="218.67272727272726"/>
    <n v="240.54"/>
    <n v="244.98"/>
    <n v="21.867272727272734"/>
  </r>
  <r>
    <n v="12"/>
    <s v="Strepsils Orange"/>
    <x v="3"/>
    <n v="1"/>
    <s v="Ram Agencies"/>
    <d v="2025-10-01T00:00:00"/>
    <n v="572.72727272727263"/>
    <n v="630"/>
    <n v="661.5"/>
    <n v="57.272727272727366"/>
  </r>
  <r>
    <n v="13"/>
    <s v="Hhcepo CV 325 Tabs"/>
    <x v="1"/>
    <n v="10"/>
    <s v="Ram Agencies"/>
    <d v="2025-10-01T00:00:00"/>
    <n v="217.5363636363636"/>
    <n v="239.29"/>
    <n v="2437.17"/>
    <n v="21.753636363636389"/>
  </r>
  <r>
    <n v="14"/>
    <s v="Clonate F Cream"/>
    <x v="1"/>
    <n v="3"/>
    <s v="Ram Agencies"/>
    <d v="2025-10-01T00:00:00"/>
    <n v="142.20909090909092"/>
    <n v="156.43"/>
    <n v="477.97"/>
    <n v="14.220909090909089"/>
  </r>
  <r>
    <n v="15"/>
    <s v="Bandy Plus Tab"/>
    <x v="1"/>
    <n v="3"/>
    <s v="Ram Agencies"/>
    <d v="2025-10-01T00:00:00"/>
    <n v="21.981818181818181"/>
    <n v="24.18"/>
    <n v="73.88"/>
    <n v="2.1981818181818191"/>
  </r>
  <r>
    <n v="16"/>
    <s v="Bandy Plus Tab"/>
    <x v="1"/>
    <n v="6"/>
    <s v="Ram Agencies"/>
    <d v="2025-10-01T00:00:00"/>
    <n v="21.981818181818181"/>
    <n v="24.18"/>
    <n v="147.77000000000001"/>
    <n v="2.1981818181818191"/>
  </r>
  <r>
    <n v="17"/>
    <s v="Sompraz D Tab"/>
    <x v="4"/>
    <n v="3"/>
    <s v="Ram Agencies"/>
    <d v="2025-10-01T00:00:00"/>
    <n v="172.08181818181816"/>
    <n v="189.29"/>
    <n v="578.37"/>
    <n v="17.208181818181828"/>
  </r>
  <r>
    <n v="18"/>
    <s v="Azithral 500mg Tab"/>
    <x v="1"/>
    <n v="10"/>
    <s v="Ram Agencies"/>
    <d v="2025-10-01T00:00:00"/>
    <n v="87.190909090909088"/>
    <n v="95.91"/>
    <n v="976.85"/>
    <n v="8.7190909090909088"/>
  </r>
  <r>
    <n v="19"/>
    <s v="Cyra -D Tabs"/>
    <x v="4"/>
    <n v="10"/>
    <s v="Ram Agencies"/>
    <d v="2025-10-01T00:00:00"/>
    <n v="33.118181818181817"/>
    <n v="36.43"/>
    <n v="371.03"/>
    <n v="3.3118181818181824"/>
  </r>
  <r>
    <n v="20"/>
    <s v="Tazloc Am Tabs"/>
    <x v="5"/>
    <n v="10"/>
    <s v="Ram Agencies"/>
    <d v="2025-10-01T00:00:00"/>
    <n v="104.13636363636363"/>
    <n v="114.55"/>
    <n v="1166.7"/>
    <n v="10.413636363636371"/>
  </r>
  <r>
    <n v="21"/>
    <s v="Mesacol Od Tabs"/>
    <x v="4"/>
    <n v="1"/>
    <s v="Ram Agencies"/>
    <d v="2025-10-01T00:00:00"/>
    <n v="375.32727272727271"/>
    <n v="412.86"/>
    <n v="420.49"/>
    <n v="37.5327272727273"/>
  </r>
  <r>
    <n v="22"/>
    <s v="Propysalic NF6 Ointment"/>
    <x v="1"/>
    <n v="5"/>
    <s v="Ram Agencies"/>
    <d v="2025-10-01T00:00:00"/>
    <n v="135.71818181818179"/>
    <n v="149.29"/>
    <n v="760.26"/>
    <n v="13.571818181818202"/>
  </r>
  <r>
    <n v="23"/>
    <s v="Concor Cor 2.5 Tabs"/>
    <x v="5"/>
    <n v="3"/>
    <s v="Ram Agencies"/>
    <d v="2025-10-01T00:00:00"/>
    <n v="61.336363636363629"/>
    <n v="67.47"/>
    <n v="206.16"/>
    <n v="6.13363636363637"/>
  </r>
  <r>
    <n v="24"/>
    <s v="Clenz AC Topical Gel"/>
    <x v="0"/>
    <n v="3"/>
    <s v="Ram Agencies"/>
    <d v="2025-10-01T00:00:00"/>
    <n v="340.90909090909088"/>
    <n v="375"/>
    <n v="1145.81"/>
    <n v="34.090909090909122"/>
  </r>
  <r>
    <n v="25"/>
    <s v="Lulifin Cream"/>
    <x v="1"/>
    <n v="2"/>
    <s v="Ram Agencies"/>
    <d v="2025-10-02T00:00:00"/>
    <n v="194.15454545454543"/>
    <n v="213.57"/>
    <n v="435.05"/>
    <n v="19.415454545454566"/>
  </r>
  <r>
    <n v="26"/>
    <s v="Tedi Bar"/>
    <x v="0"/>
    <n v="2"/>
    <s v="Ram Agencies"/>
    <d v="2025-10-02T00:00:00"/>
    <n v="241.59999999999997"/>
    <n v="265.76"/>
    <n v="608.37"/>
    <n v="24.160000000000025"/>
  </r>
  <r>
    <n v="27"/>
    <s v="Aquahance Moisture"/>
    <x v="0"/>
    <n v="2"/>
    <s v="Ram Agencies"/>
    <d v="2025-10-02T00:00:00"/>
    <n v="169.49090909090907"/>
    <n v="186.44"/>
    <n v="379.77"/>
    <n v="16.949090909090927"/>
  </r>
  <r>
    <n v="28"/>
    <s v="Seroflo-250 Inhaler"/>
    <x v="6"/>
    <n v="1"/>
    <s v="Ram Agencies"/>
    <d v="2025-10-02T00:00:00"/>
    <n v="633.58181818181822"/>
    <n v="696.94"/>
    <n v="709.83"/>
    <n v="63.358181818181833"/>
  </r>
  <r>
    <n v="29"/>
    <s v="RotaHaler"/>
    <x v="6"/>
    <n v="1"/>
    <s v="Ram Agencies"/>
    <d v="2025-10-02T00:00:00"/>
    <n v="120.29090909090907"/>
    <n v="132.32"/>
    <n v="134.66"/>
    <n v="12.029090909090925"/>
  </r>
  <r>
    <n v="30"/>
    <s v="Dermadew Soap"/>
    <x v="0"/>
    <n v="3"/>
    <s v="Ram Agencies"/>
    <d v="2025-10-02T00:00:00"/>
    <n v="135.59090909090909"/>
    <n v="149.15"/>
    <n v="455.73"/>
    <n v="13.559090909090912"/>
  </r>
  <r>
    <n v="31"/>
    <s v="Dermadew Baby Soap"/>
    <x v="7"/>
    <n v="2"/>
    <s v="Ram Agencies"/>
    <d v="2025-10-02T00:00:00"/>
    <n v="154.08181818181816"/>
    <n v="169.49"/>
    <n v="345.25"/>
    <n v="15.408181818181845"/>
  </r>
  <r>
    <n v="32"/>
    <s v="Levolin Inhaler"/>
    <x v="6"/>
    <n v="1"/>
    <s v="Ram Agencies"/>
    <d v="2025-10-02T00:00:00"/>
    <n v="183.46363636363634"/>
    <n v="201.81"/>
    <n v="205.54"/>
    <n v="18.346363636363662"/>
  </r>
  <r>
    <n v="33"/>
    <s v="Rega NP Serum"/>
    <x v="2"/>
    <n v="5"/>
    <s v="RSM Pharma"/>
    <d v="2025-10-02T00:00:00"/>
    <n v="344.5272727272727"/>
    <n v="378.98"/>
    <n v="2168.89"/>
    <n v="34.452727272727316"/>
  </r>
  <r>
    <n v="34"/>
    <s v="Rega NP Serum"/>
    <x v="2"/>
    <n v="5"/>
    <s v="RSM Pharma"/>
    <d v="2025-10-02T00:00:00"/>
    <n v="344.5272727272727"/>
    <n v="378.98"/>
    <n v="2168.89"/>
    <n v="34.452727272727316"/>
  </r>
  <r>
    <n v="35"/>
    <s v="ES Body Wash"/>
    <x v="0"/>
    <n v="2"/>
    <s v="RSM Pharma"/>
    <d v="2025-10-02T00:00:00"/>
    <n v="345.76363636363629"/>
    <n v="380.34"/>
    <n v="870.68"/>
    <n v="34.576363636363681"/>
  </r>
  <r>
    <n v="36"/>
    <s v="Gabapax NT 200MG Tab"/>
    <x v="8"/>
    <n v="2"/>
    <s v="RSM Pharma"/>
    <d v="2025-10-02T00:00:00"/>
    <n v="212.85454545454542"/>
    <n v="234.14"/>
    <n v="476.95"/>
    <n v="21.28545454545457"/>
  </r>
  <r>
    <n v="37"/>
    <s v="Cilvoryl MV 2 Tab"/>
    <x v="9"/>
    <n v="4"/>
    <s v="RSM Pharma"/>
    <d v="2025-10-02T00:00:00"/>
    <n v="198.29090909090908"/>
    <n v="218.12"/>
    <n v="888.63"/>
    <n v="19.829090909090922"/>
  </r>
  <r>
    <n v="38"/>
    <s v="Budamate 200 Transcaps"/>
    <x v="6"/>
    <n v="2"/>
    <s v="RSM Pharma"/>
    <d v="2025-10-02T00:00:00"/>
    <n v="126.91818181818182"/>
    <n v="139.61000000000001"/>
    <n v="284.38"/>
    <n v="12.691818181818192"/>
  </r>
  <r>
    <n v="39"/>
    <s v="Rablet 20MG Tab 15'S"/>
    <x v="4"/>
    <n v="1"/>
    <s v="RSM Pharma"/>
    <d v="2025-10-02T00:00:00"/>
    <n v="135.58181818181816"/>
    <n v="149.13999999999999"/>
    <n v="151.91"/>
    <n v="13.558181818181822"/>
  </r>
  <r>
    <n v="40"/>
    <s v="Acne UV Gel"/>
    <x v="10"/>
    <n v="1"/>
    <s v="RSM Pharma"/>
    <d v="2025-10-02T00:00:00"/>
    <n v="600.92727272727268"/>
    <n v="661.02"/>
    <n v="756.61"/>
    <n v="60.092727272727302"/>
  </r>
  <r>
    <n v="41"/>
    <s v="Minoz Gel "/>
    <x v="0"/>
    <n v="3"/>
    <s v="RSM Pharma"/>
    <d v="2025-10-02T00:00:00"/>
    <n v="275.97272727272724"/>
    <n v="303.57"/>
    <n v="927.55"/>
    <n v="27.597272727272752"/>
  </r>
  <r>
    <n v="42"/>
    <s v="Suncros Matt Finish Soft Gel"/>
    <x v="10"/>
    <n v="1"/>
    <s v="RSM Pharma"/>
    <d v="2025-10-02T00:00:00"/>
    <n v="511.55454545454546"/>
    <n v="562.71"/>
    <n v="644.07000000000005"/>
    <n v="51.155454545454575"/>
  </r>
  <r>
    <n v="43"/>
    <s v="Allgiduo SUS"/>
    <x v="3"/>
    <n v="1"/>
    <s v="RSM Pharma"/>
    <d v="2025-10-02T00:00:00"/>
    <n v="121.32727272727273"/>
    <n v="133.46"/>
    <n v="135.94"/>
    <n v="12.13272727272728"/>
  </r>
  <r>
    <n v="44"/>
    <s v="Tarich Lotion"/>
    <x v="0"/>
    <n v="2"/>
    <s v="RSM Pharma"/>
    <d v="2025-10-02T00:00:00"/>
    <n v="418.83636363636361"/>
    <n v="460.72"/>
    <n v="938.5"/>
    <n v="41.883636363636413"/>
  </r>
  <r>
    <n v="45"/>
    <s v="LA Shield Max Sunscreen Lotion"/>
    <x v="10"/>
    <n v="1"/>
    <s v="RSM Pharma"/>
    <d v="2025-10-02T00:00:00"/>
    <n v="563.94545454545448"/>
    <n v="620.34"/>
    <n v="710.05"/>
    <n v="56.39454545454555"/>
  </r>
  <r>
    <n v="46"/>
    <s v="Hydronic Lip Serum"/>
    <x v="0"/>
    <n v="2"/>
    <s v="RSM Pharma"/>
    <d v="2025-10-02T00:00:00"/>
    <n v="159.62727272727273"/>
    <n v="175.59"/>
    <n v="357.68"/>
    <n v="15.962727272727278"/>
  </r>
  <r>
    <n v="47"/>
    <s v="Orofer XT Lab"/>
    <x v="11"/>
    <n v="3"/>
    <s v="RSM Pharma"/>
    <d v="2025-10-02T00:00:00"/>
    <n v="220.13636363636363"/>
    <n v="242.15"/>
    <n v="739.9"/>
    <n v="22.01363636363638"/>
  </r>
  <r>
    <n v="48"/>
    <s v="Cilacar 5MG Tab"/>
    <x v="5"/>
    <n v="4"/>
    <s v="RSM Pharma"/>
    <d v="2025-10-02T00:00:00"/>
    <n v="91.554545454545448"/>
    <n v="100.71"/>
    <n v="512.86"/>
    <n v="9.1554545454545462"/>
  </r>
  <r>
    <n v="49"/>
    <s v="Sitara 50MG Tab"/>
    <x v="1"/>
    <n v="5"/>
    <s v="RSM Pharma"/>
    <d v="2025-10-02T00:00:00"/>
    <n v="70.618181818181824"/>
    <n v="77.680000000000007"/>
    <n v="237.35"/>
    <n v="7.0618181818181824"/>
  </r>
  <r>
    <n v="50"/>
    <s v="Calpsor C Oint"/>
    <x v="1"/>
    <n v="3"/>
    <s v="RSM Pharma"/>
    <d v="2025-10-02T00:00:00"/>
    <n v="462.85454545454542"/>
    <n v="509.14"/>
    <n v="1555.68"/>
    <n v="46.28545454545457"/>
  </r>
  <r>
    <n v="51"/>
    <s v="Imol Plus Tab"/>
    <x v="8"/>
    <n v="20"/>
    <s v="RSM Pharma"/>
    <d v="2025-10-02T00:00:00"/>
    <n v="15.390909090909089"/>
    <n v="16.93"/>
    <n v="344.86"/>
    <n v="1.5390909090909108"/>
  </r>
  <r>
    <n v="52"/>
    <s v="Deplatta A 150 Tab 15'S"/>
    <x v="5"/>
    <n v="2"/>
    <s v="RSM Pharma"/>
    <d v="2025-10-02T00:00:00"/>
    <n v="70.845454545454544"/>
    <n v="77.930000000000007"/>
    <n v="158.74"/>
    <n v="7.0845454545454629"/>
  </r>
  <r>
    <n v="53"/>
    <s v="Aztor 10MG Tab 15'S"/>
    <x v="5"/>
    <n v="2"/>
    <s v="RSM Pharma"/>
    <d v="2025-10-02T00:00:00"/>
    <n v="55.154545454545449"/>
    <n v="60.67"/>
    <n v="123.58"/>
    <n v="5.5154545454545527"/>
  </r>
  <r>
    <n v="54"/>
    <s v="Huminsulin (R) 40IU"/>
    <x v="9"/>
    <n v="1"/>
    <s v="RSM Pharma"/>
    <d v="2025-10-02T00:00:00"/>
    <n v="126.54545454545452"/>
    <n v="139.19999999999999"/>
    <n v="143.24"/>
    <n v="12.65454545454547"/>
  </r>
  <r>
    <n v="55"/>
    <s v="Lacto Calamine (ALOE 115ml)"/>
    <x v="0"/>
    <n v="1"/>
    <s v="Mahaveer Medi Sales"/>
    <d v="2025-10-02T00:00:00"/>
    <n v="178.28181818181818"/>
    <n v="196.11"/>
    <n v="231.41"/>
    <n v="17.828181818181832"/>
  </r>
  <r>
    <n v="56"/>
    <s v="Azee 500 Tabs "/>
    <x v="1"/>
    <n v="6"/>
    <s v="Mahaveer Medi Sales"/>
    <d v="2025-10-02T00:00:00"/>
    <n v="87.190909090909088"/>
    <n v="95.91"/>
    <n v="488.42"/>
    <n v="8.7190909090909088"/>
  </r>
  <r>
    <n v="57"/>
    <s v="Lacto Calamine (ALOE -55ml)"/>
    <x v="0"/>
    <n v="1"/>
    <s v="Mahaveer Medi Sales"/>
    <d v="2025-10-03T00:00:00"/>
    <n v="102.84545454545453"/>
    <n v="113.13"/>
    <n v="133.49"/>
    <n v="10.284545454545466"/>
  </r>
  <r>
    <n v="58"/>
    <s v="BuscoGast Tab"/>
    <x v="4"/>
    <n v="5"/>
    <s v="Mahaveer Medi Sales"/>
    <d v="2025-10-03T00:00:00"/>
    <n v="30.272727272727266"/>
    <n v="33.299999999999997"/>
    <n v="169.58"/>
    <n v="3.0272727272727309"/>
  </r>
  <r>
    <n v="59"/>
    <s v="Sebum Clear N Gel"/>
    <x v="0"/>
    <n v="5"/>
    <s v="Mahaveer Medi Sales"/>
    <d v="2025-10-03T00:00:00"/>
    <n v="220.78181818181818"/>
    <n v="242.86"/>
    <n v="1236.77"/>
    <n v="22.078181818181832"/>
  </r>
  <r>
    <n v="60"/>
    <s v="Clincitop Gel"/>
    <x v="0"/>
    <n v="1"/>
    <s v="Mahaveer Medi Sales"/>
    <d v="2025-10-03T00:00:00"/>
    <n v="25.227272727272727"/>
    <n v="27.75"/>
    <n v="29.13"/>
    <n v="2.5227272727272734"/>
  </r>
  <r>
    <n v="61"/>
    <s v="Sebamed Baby Cream Extra "/>
    <x v="7"/>
    <n v="2"/>
    <s v="Mahaveer Medi Sales"/>
    <d v="2025-10-03T00:00:00"/>
    <n v="173.34545454545454"/>
    <n v="190.68"/>
    <n v="450"/>
    <n v="17.334545454545463"/>
  </r>
  <r>
    <n v="62"/>
    <s v="Zocon-200 mg Tab©"/>
    <x v="1"/>
    <n v="5"/>
    <s v="Mahaveer Medi Sales"/>
    <d v="2025-10-03T00:00:00"/>
    <n v="51.663636363636357"/>
    <n v="56.83"/>
    <n v="289.41000000000003"/>
    <n v="5.1663636363636414"/>
  </r>
  <r>
    <n v="63"/>
    <s v="Hycort Cream"/>
    <x v="1"/>
    <n v="10"/>
    <s v="Avenues Pharma "/>
    <d v="2025-10-03T00:00:00"/>
    <n v="119.09999999999998"/>
    <n v="131.01"/>
    <n v="1334.34"/>
    <n v="11.910000000000011"/>
  </r>
  <r>
    <n v="64"/>
    <s v="C-Facewash"/>
    <x v="0"/>
    <n v="12"/>
    <s v="Cosmonova Medicare "/>
    <d v="2025-10-03T00:00:00"/>
    <n v="246.5363636363636"/>
    <n v="271.19"/>
    <n v="3200"/>
    <n v="24.653636363636394"/>
  </r>
  <r>
    <n v="65"/>
    <s v="Minfin NX 5% "/>
    <x v="2"/>
    <n v="5"/>
    <s v="Medline Distributors"/>
    <d v="2025-10-03T00:00:00"/>
    <n v="616.88181818181818"/>
    <n v="678.57"/>
    <n v="3455.62"/>
    <n v="61.688181818181874"/>
  </r>
  <r>
    <n v="66"/>
    <s v="Minfin MAXX 5%"/>
    <x v="2"/>
    <n v="5"/>
    <s v="Medline Distributors"/>
    <d v="2025-10-03T00:00:00"/>
    <n v="603.24545454545455"/>
    <n v="663.57"/>
    <n v="3379.23"/>
    <n v="60.3245454545455"/>
  </r>
  <r>
    <n v="67"/>
    <s v="Castor NF Cream "/>
    <x v="0"/>
    <n v="1"/>
    <s v="Mahaveer Medi Sales"/>
    <d v="2025-10-03T00:00:00"/>
    <n v="32.727272727272727"/>
    <n v="36"/>
    <n v="37.799999999999997"/>
    <n v="3.2727272727272734"/>
  </r>
  <r>
    <n v="68"/>
    <s v="Depiwhite eye gel"/>
    <x v="0"/>
    <n v="1"/>
    <s v="Mahaveer Medi Sales"/>
    <d v="2025-10-03T00:00:00"/>
    <n v="459.78181818181815"/>
    <n v="505.76"/>
    <n v="578.89"/>
    <n v="45.978181818181838"/>
  </r>
  <r>
    <n v="69"/>
    <s v="Lacto Calamine Oily Skin"/>
    <x v="0"/>
    <n v="1"/>
    <s v="Mahaveer Medi Sales"/>
    <d v="2025-10-03T00:00:00"/>
    <n v="178.28181818181818"/>
    <n v="196.11"/>
    <n v="231.41"/>
    <n v="17.828181818181832"/>
  </r>
  <r>
    <n v="70"/>
    <s v="Hairtamin Cap"/>
    <x v="11"/>
    <n v="1"/>
    <s v="Mahaveer Medi Sales"/>
    <d v="2025-10-03T00:00:00"/>
    <n v="154.08181818181816"/>
    <n v="169.49"/>
    <n v="172.63"/>
    <n v="15.408181818181845"/>
  </r>
  <r>
    <n v="71"/>
    <s v="Hairtamin Cap"/>
    <x v="11"/>
    <n v="1"/>
    <s v="Mahaveer Medi Sales"/>
    <d v="2025-10-03T00:00:00"/>
    <n v="154.08181818181816"/>
    <n v="169.49"/>
    <n v="172.63"/>
    <n v="15.408181818181845"/>
  </r>
  <r>
    <n v="72"/>
    <s v="Momentsone Cream"/>
    <x v="1"/>
    <n v="3"/>
    <s v="RSM Pharma"/>
    <d v="2025-10-03T00:00:00"/>
    <n v="238"/>
    <n v="261.8"/>
    <n v="799.94"/>
    <n v="23.800000000000011"/>
  </r>
  <r>
    <n v="73"/>
    <s v="Pantocid IT Caps"/>
    <x v="4"/>
    <n v="2"/>
    <s v="RSM Pharma"/>
    <d v="2025-10-03T00:00:00"/>
    <n v="238.96363636363637"/>
    <n v="262.86"/>
    <n v="535.45000000000005"/>
    <n v="23.896363636363645"/>
  </r>
  <r>
    <n v="74"/>
    <s v="Hhomega + Cap"/>
    <x v="11"/>
    <n v="6"/>
    <s v="RSM Pharma"/>
    <d v="2025-10-03T00:00:00"/>
    <n v="141.76363636363635"/>
    <n v="155.94"/>
    <n v="952.95"/>
    <n v="14.176363636363646"/>
  </r>
  <r>
    <n v="75"/>
    <s v="Stolin R Active Toothpaste"/>
    <x v="2"/>
    <n v="1"/>
    <s v="RSM Pharma"/>
    <d v="2025-10-03T00:00:00"/>
    <n v="160.24545454545455"/>
    <n v="176.27"/>
    <n v="179.52"/>
    <n v="16.024545454545461"/>
  </r>
  <r>
    <n v="76"/>
    <s v="Olmesar Ch 20MG Tab"/>
    <x v="5"/>
    <n v="2"/>
    <s v="RSM Pharma"/>
    <d v="2025-10-03T00:00:00"/>
    <n v="147.85454545454542"/>
    <n v="162.63999999999999"/>
    <n v="331.3"/>
    <n v="14.78545454545457"/>
  </r>
  <r>
    <n v="77"/>
    <s v="Darolac Syrup"/>
    <x v="4"/>
    <n v="1"/>
    <s v="RSM Pharma"/>
    <d v="2025-10-03T00:00:00"/>
    <n v="129.43636363636361"/>
    <n v="142.38"/>
    <n v="145.01"/>
    <n v="12.943636363636386"/>
  </r>
  <r>
    <n v="78"/>
    <s v="Aten D Tab"/>
    <x v="5"/>
    <n v="1"/>
    <s v="RSM Pharma"/>
    <d v="2025-10-03T00:00:00"/>
    <n v="93.818181818181813"/>
    <n v="103.2"/>
    <n v="105.1"/>
    <n v="9.3818181818181898"/>
  </r>
  <r>
    <n v="79"/>
    <s v="Concovas 2.5MG Tab"/>
    <x v="5"/>
    <n v="3"/>
    <s v="RSM Pharma"/>
    <d v="2025-10-03T00:00:00"/>
    <n v="52.009090909090908"/>
    <n v="57.21"/>
    <n v="174.8"/>
    <n v="5.2009090909090929"/>
  </r>
  <r>
    <n v="80"/>
    <s v="Asthalin R/Caps"/>
    <x v="6"/>
    <n v="10"/>
    <s v="RSM Pharma"/>
    <d v="2025-10-03T00:00:00"/>
    <n v="45.199999999999996"/>
    <n v="49.72"/>
    <n v="506.4"/>
    <n v="4.5200000000000031"/>
  </r>
  <r>
    <n v="81"/>
    <s v="Dermadew Glow Cream"/>
    <x v="0"/>
    <n v="1"/>
    <s v="RSM Pharma"/>
    <d v="2025-10-03T00:00:00"/>
    <n v="218.79999999999998"/>
    <n v="240.68"/>
    <n v="274.48"/>
    <n v="21.880000000000024"/>
  </r>
  <r>
    <n v="82"/>
    <s v="Siloderm Mixi Cream"/>
    <x v="0"/>
    <n v="1"/>
    <s v="RSM Pharma"/>
    <d v="2025-10-03T00:00:00"/>
    <n v="62.072727272727271"/>
    <n v="68.28"/>
    <n v="69.55"/>
    <n v="6.2072727272727306"/>
  </r>
  <r>
    <n v="83"/>
    <s v="Nilac Gel"/>
    <x v="0"/>
    <n v="2"/>
    <s v="RSM Pharma"/>
    <d v="2025-10-03T00:00:00"/>
    <n v="127.91818181818182"/>
    <n v="140.71"/>
    <n v="286.62"/>
    <n v="12.791818181818186"/>
  </r>
  <r>
    <n v="84"/>
    <s v="Rosuvas EZ 10MG"/>
    <x v="5"/>
    <n v="3"/>
    <s v="RSM Pharma"/>
    <d v="2025-10-03T00:00:00"/>
    <n v="281"/>
    <n v="309.10000000000002"/>
    <n v="944.46"/>
    <n v="28.100000000000023"/>
  </r>
  <r>
    <n v="85"/>
    <s v="Atorva 10MG Tab 15'S"/>
    <x v="5"/>
    <n v="2"/>
    <s v="RSM Pharma"/>
    <d v="2025-10-03T00:00:00"/>
    <n v="55.154545454545449"/>
    <n v="60.67"/>
    <n v="123.58"/>
    <n v="5.5154545454545527"/>
  </r>
  <r>
    <n v="86"/>
    <s v="Limcee 500MG Tab"/>
    <x v="11"/>
    <n v="20"/>
    <s v="RSM Pharma"/>
    <d v="2025-10-03T00:00:00"/>
    <n v="17.09090909090909"/>
    <n v="18.8"/>
    <n v="382.96"/>
    <n v="1.7090909090909108"/>
  </r>
  <r>
    <n v="87"/>
    <s v="Thyronorm 125MG Tab 120's"/>
    <x v="11"/>
    <n v="1"/>
    <s v="RSM Pharma"/>
    <d v="2025-10-03T00:00:00"/>
    <n v="150.05454545454543"/>
    <n v="165.06"/>
    <n v="168.11"/>
    <n v="15.005454545454569"/>
  </r>
  <r>
    <n v="88"/>
    <s v="Beplex Forte Tab"/>
    <x v="11"/>
    <n v="12"/>
    <s v="Mahaveer Medi Sales"/>
    <d v="2025-10-04T00:00:00"/>
    <n v="36.918181818181814"/>
    <n v="40.61"/>
    <n v="496.34"/>
    <n v="3.691818181818185"/>
  </r>
  <r>
    <n v="89"/>
    <s v="Orofer XT Lab"/>
    <x v="11"/>
    <n v="1"/>
    <s v="Mahaveer Medi Sales"/>
    <d v="2025-10-04T00:00:00"/>
    <n v="177.93636363636361"/>
    <n v="195.73"/>
    <n v="199.36"/>
    <n v="17.793636363636381"/>
  </r>
  <r>
    <n v="90"/>
    <s v="Acceclowoc SP Tab"/>
    <x v="8"/>
    <n v="19"/>
    <s v="Mahaveer Medi Sales"/>
    <d v="2025-10-04T00:00:00"/>
    <n v="16.681818181818183"/>
    <n v="18.350000000000001"/>
    <n v="366.09"/>
    <n v="1.668181818181818"/>
  </r>
  <r>
    <n v="91"/>
    <s v="Lecmon-AX Tab"/>
    <x v="1"/>
    <n v="3"/>
    <s v="RSM Pharma"/>
    <d v="2025-10-04T00:00:00"/>
    <n v="72.545454545454533"/>
    <n v="79.8"/>
    <n v="243.84"/>
    <n v="7.2545454545454646"/>
  </r>
  <r>
    <n v="92"/>
    <s v="Cuticlair Ceramide Cream"/>
    <x v="0"/>
    <n v="1"/>
    <s v="RSM Pharma"/>
    <d v="2025-10-04T00:00:00"/>
    <n v="475.22727272727269"/>
    <n v="522.75"/>
    <n v="532.42999999999995"/>
    <n v="47.522727272727309"/>
  </r>
  <r>
    <n v="93"/>
    <s v="Starpress XL 50MG Tab 15'S"/>
    <x v="5"/>
    <n v="2"/>
    <s v="RSM Pharma"/>
    <d v="2025-10-04T00:00:00"/>
    <n v="64.772727272727266"/>
    <n v="71.25"/>
    <n v="145.15"/>
    <n v="6.4772727272727337"/>
  </r>
  <r>
    <n v="94"/>
    <s v="Nervijen P Cap's 15'S"/>
    <x v="8"/>
    <n v="6"/>
    <s v="RSM Pharma"/>
    <d v="2025-10-04T00:00:00"/>
    <n v="267.0454545454545"/>
    <n v="293.75"/>
    <n v="1795.11"/>
    <n v="26.704545454545496"/>
  </r>
  <r>
    <n v="95"/>
    <s v="Olesoft Max Lotion"/>
    <x v="0"/>
    <n v="1"/>
    <s v="Ram Agencies"/>
    <d v="2025-10-04T00:00:00"/>
    <n v="383.09999999999997"/>
    <n v="421.41"/>
    <n v="429.21"/>
    <n v="38.310000000000059"/>
  </r>
  <r>
    <n v="96"/>
    <s v="Aquahance Moisture"/>
    <x v="0"/>
    <n v="5"/>
    <s v="Ram Agencies"/>
    <d v="2025-10-04T00:00:00"/>
    <n v="169.49090909090907"/>
    <n v="186.44"/>
    <n v="949.45"/>
    <n v="16.949090909090927"/>
  </r>
  <r>
    <n v="97"/>
    <s v="Gentle Baby Wipes(72)"/>
    <x v="7"/>
    <n v="1"/>
    <s v="Ram Agencies"/>
    <d v="2025-10-04T00:00:00"/>
    <n v="175.38181818181815"/>
    <n v="192.92"/>
    <n v="223.1"/>
    <n v="17.53818181818184"/>
  </r>
  <r>
    <n v="98"/>
    <s v="Kera XL Hair Growth"/>
    <x v="2"/>
    <n v="2"/>
    <s v="Ram Agencies"/>
    <d v="2025-10-04T00:00:00"/>
    <n v="857.93636363636358"/>
    <n v="943.73"/>
    <n v="2160.4"/>
    <n v="85.793636363636438"/>
  </r>
  <r>
    <n v="99"/>
    <s v="Gentle Baby Wipes(72)"/>
    <x v="7"/>
    <n v="1"/>
    <s v="Ram Agencies"/>
    <d v="2025-10-04T00:00:00"/>
    <n v="53.245454545454542"/>
    <n v="58.57"/>
    <n v="67.739999999999995"/>
    <n v="5.3245454545454578"/>
  </r>
  <r>
    <n v="100"/>
    <s v="Lactihep Plus Syrup"/>
    <x v="4"/>
    <n v="1"/>
    <s v="Ram Agencies"/>
    <d v="2025-10-04T00:00:00"/>
    <n v="202.6"/>
    <n v="222.86"/>
    <n v="226.97"/>
    <n v="20.260000000000019"/>
  </r>
  <r>
    <n v="101"/>
    <s v="Mobizox Tab"/>
    <x v="8"/>
    <n v="1"/>
    <s v="Ram Agencies"/>
    <d v="2025-10-04T00:00:00"/>
    <n v="181.81818181818181"/>
    <n v="200"/>
    <n v="203.7"/>
    <n v="18.181818181818187"/>
  </r>
  <r>
    <n v="102"/>
    <s v="Eltroxin 100MG Tabs"/>
    <x v="11"/>
    <n v="1"/>
    <s v="Ram Agencies"/>
    <d v="2025-10-04T00:00:00"/>
    <n v="116.94545454545452"/>
    <n v="128.63999999999999"/>
    <n v="131.02000000000001"/>
    <n v="11.694545454545462"/>
  </r>
  <r>
    <n v="103"/>
    <s v="Eumosone Cream"/>
    <x v="1"/>
    <n v="1"/>
    <s v="Ram Agencies"/>
    <d v="2025-10-04T00:00:00"/>
    <n v="79.218181818181819"/>
    <n v="87.14"/>
    <n v="88.75"/>
    <n v="7.9218181818181819"/>
  </r>
  <r>
    <n v="104"/>
    <s v="Bilatis 20MG Tabs"/>
    <x v="1"/>
    <n v="10"/>
    <s v="Ram Agencies"/>
    <d v="2025-10-05T00:00:00"/>
    <n v="85.718181818181819"/>
    <n v="94.29"/>
    <n v="960.35"/>
    <n v="8.5718181818181876"/>
  </r>
  <r>
    <n v="105"/>
    <s v="Ibugesic Plus Syp "/>
    <x v="8"/>
    <n v="9"/>
    <s v="Ram Agencies"/>
    <d v="2025-10-05T00:00:00"/>
    <n v="39.218181818181819"/>
    <n v="43.14"/>
    <n v="395.45"/>
    <n v="3.9218181818181819"/>
  </r>
  <r>
    <n v="106"/>
    <s v="Ecosprin AV 150/20 Caps"/>
    <x v="5"/>
    <n v="3"/>
    <s v="Ram Agencies"/>
    <d v="2025-10-05T00:00:00"/>
    <n v="35.627272727272725"/>
    <n v="39.19"/>
    <n v="120.98"/>
    <n v="3.5627272727272725"/>
  </r>
  <r>
    <n v="107"/>
    <s v="Betadine Ointment 10%"/>
    <x v="12"/>
    <n v="1"/>
    <s v="Avenues Pharma "/>
    <d v="2025-10-05T00:00:00"/>
    <n v="95.609090909090909"/>
    <n v="105.17"/>
    <n v="108.23"/>
    <n v="9.5609090909090924"/>
  </r>
  <r>
    <n v="108"/>
    <s v="Hhfexo 180 Tabs"/>
    <x v="1"/>
    <n v="10"/>
    <s v="Avenues Pharma "/>
    <d v="2025-10-05T00:00:00"/>
    <n v="120.12727272727271"/>
    <n v="132.13999999999999"/>
    <n v="1345.84"/>
    <n v="12.012727272727275"/>
  </r>
  <r>
    <n v="109"/>
    <s v="Atogla Moiturizing"/>
    <x v="0"/>
    <n v="1"/>
    <s v="Mahaveer Medi Sales"/>
    <d v="2025-10-05T00:00:00"/>
    <n v="239.75454545454545"/>
    <n v="263.73"/>
    <n v="301.86"/>
    <n v="23.975454545454568"/>
  </r>
  <r>
    <n v="110"/>
    <s v="Amlovas L Tab"/>
    <x v="5"/>
    <n v="4"/>
    <s v="Mahaveer Medi Sales"/>
    <d v="2025-10-05T00:00:00"/>
    <n v="138.40909090909091"/>
    <n v="152.25"/>
    <n v="620.27"/>
    <n v="13.840909090909093"/>
  </r>
  <r>
    <n v="111"/>
    <s v="Lupidip 2.5MG Tab"/>
    <x v="5"/>
    <n v="4"/>
    <s v="Mahaveer Medi Sales"/>
    <d v="2025-10-05T00:00:00"/>
    <n v="13.218181818181817"/>
    <n v="14.54"/>
    <n v="59.24"/>
    <n v="1.3218181818181822"/>
  </r>
  <r>
    <n v="112"/>
    <s v="Hifenac MR Tab"/>
    <x v="8"/>
    <n v="2"/>
    <s v="Mahaveer Medi Sales"/>
    <d v="2025-10-05T00:00:00"/>
    <n v="72.72727272727272"/>
    <n v="80"/>
    <n v="162.96"/>
    <n v="7.2727272727272805"/>
  </r>
  <r>
    <n v="113"/>
    <s v="COF Q DX Tab"/>
    <x v="3"/>
    <n v="10"/>
    <s v="Mahaveer Medi Sales"/>
    <d v="2025-10-05T00:00:00"/>
    <n v="11.918181818181816"/>
    <n v="13.11"/>
    <n v="137.66"/>
    <n v="1.1918181818181832"/>
  </r>
  <r>
    <n v="114"/>
    <s v="Okacet Tab ©"/>
    <x v="1"/>
    <n v="133"/>
    <s v="Mahaveer Medi Sales"/>
    <d v="2025-10-05T00:00:00"/>
    <n v="4.545454545454545"/>
    <n v="5"/>
    <n v="698.26"/>
    <n v="0.45454545454545503"/>
  </r>
  <r>
    <n v="115"/>
    <s v="Nicip Plus Tab"/>
    <x v="8"/>
    <n v="38"/>
    <s v="Mahaveer Medi Sales"/>
    <d v="2025-10-05T00:00:00"/>
    <n v="10.909090909090908"/>
    <n v="12"/>
    <n v="478.8"/>
    <n v="1.0909090909090917"/>
  </r>
  <r>
    <n v="116"/>
    <s v="Pantosec DSR Caps"/>
    <x v="4"/>
    <n v="38"/>
    <s v="Mahaveer Medi Sales"/>
    <d v="2025-10-05T00:00:00"/>
    <n v="38.636363636363633"/>
    <n v="42.5"/>
    <n v="1695.76"/>
    <n v="3.8636363636363669"/>
  </r>
  <r>
    <n v="117"/>
    <s v="KZ Plus Medicated Soap"/>
    <x v="1"/>
    <n v="5"/>
    <s v="Mahaveer Medi Sales"/>
    <d v="2025-10-05T00:00:00"/>
    <n v="122.03636363636363"/>
    <n v="134.24"/>
    <n v="683.62"/>
    <n v="12.203636363636377"/>
  </r>
  <r>
    <n v="118"/>
    <s v="Dazit 10MG Tab"/>
    <x v="1"/>
    <n v="2"/>
    <s v="Mahaveer Medi Sales"/>
    <d v="2025-10-06T00:00:00"/>
    <n v="182.46363636363637"/>
    <n v="200.71"/>
    <n v="408.84"/>
    <n v="18.24636363636364"/>
  </r>
  <r>
    <n v="119"/>
    <s v="Softovac 250GM"/>
    <x v="4"/>
    <n v="1"/>
    <s v="Mahaveer Medi Sales"/>
    <d v="2025-10-06T00:00:00"/>
    <n v="308.44545454545454"/>
    <n v="339.29"/>
    <n v="345.57"/>
    <n v="30.844545454545482"/>
  </r>
  <r>
    <n v="120"/>
    <s v="Picon Cream 10gm"/>
    <x v="1"/>
    <n v="1"/>
    <s v="Mahaveer Medi Sales"/>
    <d v="2025-10-06T00:00:00"/>
    <n v="457.85454545454542"/>
    <n v="503.64"/>
    <n v="512.95000000000005"/>
    <n v="45.78545454545457"/>
  </r>
  <r>
    <n v="121"/>
    <s v="Ketokem Soap 75gm"/>
    <x v="1"/>
    <n v="1"/>
    <s v="Mahaveer Medi Sales"/>
    <d v="2025-10-06T00:00:00"/>
    <n v="47.063636363636363"/>
    <n v="51.77"/>
    <n v="54.35"/>
    <n v="4.7063636363636405"/>
  </r>
  <r>
    <n v="122"/>
    <s v="Tyza M Cream"/>
    <x v="1"/>
    <n v="5"/>
    <s v="Mahaveer Medi Sales"/>
    <d v="2025-10-06T00:00:00"/>
    <n v="86.75454545454545"/>
    <n v="95.43"/>
    <n v="485.98"/>
    <n v="8.6754545454545564"/>
  </r>
  <r>
    <n v="123"/>
    <s v="Lodoz 5GM Tabs"/>
    <x v="5"/>
    <n v="3"/>
    <s v="Mahaveer Medi Sales"/>
    <d v="2025-10-06T00:00:00"/>
    <n v="111.99090909090908"/>
    <n v="123.19"/>
    <n v="376.4"/>
    <n v="11.199090909090913"/>
  </r>
  <r>
    <n v="124"/>
    <s v="Ecosprin AV 150/20 Caps"/>
    <x v="5"/>
    <n v="2"/>
    <s v="Mahaveer Medi Sales"/>
    <d v="2025-10-06T00:00:00"/>
    <n v="132.68181818181816"/>
    <n v="145.94999999999999"/>
    <n v="300.36"/>
    <n v="13.26818181818183"/>
  </r>
  <r>
    <n v="125"/>
    <s v="Levigress 500MG Tab 15'S"/>
    <x v="8"/>
    <n v="4"/>
    <s v="Mahaveer Medi Sales"/>
    <d v="2025-10-06T00:00:00"/>
    <n v="145.22727272727272"/>
    <n v="159.75"/>
    <n v="657.54"/>
    <n v="14.52272727272728"/>
  </r>
  <r>
    <n v="126"/>
    <s v="Levolin 0.63 Respules"/>
    <x v="6"/>
    <n v="30"/>
    <s v="Mahaveer Medi Sales"/>
    <d v="2025-10-06T00:00:00"/>
    <n v="5.1090909090909085"/>
    <n v="5.62"/>
    <n v="171.72"/>
    <n v="0.51090909090909165"/>
  </r>
  <r>
    <n v="127"/>
    <s v="Optineruon INJ"/>
    <x v="11"/>
    <n v="2"/>
    <s v="Mahaveer Medi Sales"/>
    <d v="2025-10-06T00:00:00"/>
    <n v="90.272727272727266"/>
    <n v="99.3"/>
    <n v="202.28"/>
    <n v="9.0272727272727309"/>
  </r>
  <r>
    <n v="128"/>
    <s v="EBAL 20"/>
    <x v="2"/>
    <n v="2"/>
    <s v="Mahaveer Medi Sales"/>
    <d v="2025-10-06T00:00:00"/>
    <n v="74.345454545454544"/>
    <n v="81.78"/>
    <n v="138.83000000000001"/>
    <n v="7.4345454545454572"/>
  </r>
  <r>
    <n v="129"/>
    <s v="Minopep Gold "/>
    <x v="2"/>
    <n v="1"/>
    <s v="RSM Pharma"/>
    <d v="2025-10-06T00:00:00"/>
    <n v="766.23636363636354"/>
    <n v="842.86"/>
    <n v="858.45"/>
    <n v="76.623636363636479"/>
  </r>
  <r>
    <n v="130"/>
    <s v="Sugaflo MV Tab"/>
    <x v="9"/>
    <n v="1"/>
    <s v="RSM Pharma"/>
    <d v="2025-10-06T00:00:00"/>
    <n v="185.07272727272726"/>
    <n v="203.58"/>
    <n v="207.35"/>
    <n v="18.507272727272749"/>
  </r>
  <r>
    <n v="131"/>
    <s v="Flawlizo Micro 0.04% Gel"/>
    <x v="0"/>
    <n v="2"/>
    <s v="RSM Pharma"/>
    <d v="2025-10-06T00:00:00"/>
    <n v="97.399999999999991"/>
    <n v="107.14"/>
    <n v="421.95"/>
    <n v="9.7400000000000091"/>
  </r>
  <r>
    <n v="132"/>
    <s v="Flawlizo Micro 0.1% Gel"/>
    <x v="0"/>
    <n v="1"/>
    <s v="RSM Pharma"/>
    <d v="2025-10-06T00:00:00"/>
    <n v="253.24545454545452"/>
    <n v="278.57"/>
    <n v="283.73"/>
    <n v="25.324545454545472"/>
  </r>
  <r>
    <n v="133"/>
    <s v="Stator 20MG Tab"/>
    <x v="5"/>
    <n v="2"/>
    <s v="RSM Pharma"/>
    <d v="2025-10-06T00:00:00"/>
    <n v="139.37272727272727"/>
    <n v="153.31"/>
    <n v="312.3"/>
    <n v="13.937272727272727"/>
  </r>
  <r>
    <n v="134"/>
    <s v="Flawlizo Micro 0.04% Gel"/>
    <x v="0"/>
    <n v="1"/>
    <s v="RSM Pharma"/>
    <d v="2025-10-06T00:00:00"/>
    <n v="383.09999999999997"/>
    <n v="421.41"/>
    <n v="429.21"/>
    <n v="38.310000000000059"/>
  </r>
  <r>
    <n v="135"/>
    <s v="Brilante Max Serum "/>
    <x v="0"/>
    <n v="10"/>
    <s v="RSM Pharma"/>
    <d v="2025-10-06T00:00:00"/>
    <n v="393.83636363636361"/>
    <n v="433.22"/>
    <n v="4412.3500000000004"/>
    <n v="39.383636363636413"/>
  </r>
  <r>
    <n v="136"/>
    <s v="ORSL Apple Rehydrate Drink"/>
    <x v="11"/>
    <n v="5"/>
    <s v="RSM Pharma"/>
    <d v="2025-10-06T00:00:00"/>
    <n v="32.418181818181814"/>
    <n v="35.659999999999997"/>
    <n v="181.59"/>
    <n v="3.2418181818181822"/>
  </r>
  <r>
    <n v="137"/>
    <s v="Tonoferon Paed Syrup"/>
    <x v="11"/>
    <n v="1"/>
    <s v="RSM Pharma"/>
    <d v="2025-10-06T00:00:00"/>
    <n v="87.663636363636357"/>
    <n v="96.43"/>
    <n v="98.22"/>
    <n v="8.7663636363636499"/>
  </r>
  <r>
    <n v="138"/>
    <s v="Zincovit CL Syrup"/>
    <x v="11"/>
    <n v="1"/>
    <s v="RSM Pharma"/>
    <d v="2025-10-06T00:00:00"/>
    <n v="110.93636363636362"/>
    <n v="122.03"/>
    <n v="124.29"/>
    <n v="11.093636363636378"/>
  </r>
  <r>
    <n v="139"/>
    <s v="Telmiduce CL Tab"/>
    <x v="5"/>
    <n v="2"/>
    <s v="Ram Agencies"/>
    <d v="2025-10-06T00:00:00"/>
    <n v="86.354545454545445"/>
    <n v="94.99"/>
    <n v="193.5"/>
    <n v="8.6354545454545502"/>
  </r>
  <r>
    <n v="140"/>
    <s v="Amrfy Cream"/>
    <x v="0"/>
    <n v="3"/>
    <s v="Ram Agencies"/>
    <d v="2025-10-06T00:00:00"/>
    <n v="259.09090909090907"/>
    <n v="285"/>
    <n v="870.81"/>
    <n v="25.909090909090935"/>
  </r>
  <r>
    <n v="141"/>
    <s v="Repace H Tab"/>
    <x v="5"/>
    <n v="3"/>
    <s v="Ram Agencies"/>
    <d v="2025-10-06T00:00:00"/>
    <n v="120.78181818181818"/>
    <n v="132.86000000000001"/>
    <n v="405.96"/>
    <n v="12.078181818181832"/>
  </r>
  <r>
    <n v="142"/>
    <s v="Scarend Silicone Gel"/>
    <x v="0"/>
    <n v="1"/>
    <s v="Ram Agencies"/>
    <d v="2025-10-06T00:00:00"/>
    <n v="425.27272727272725"/>
    <n v="467.8"/>
    <n v="535.45000000000005"/>
    <n v="42.527272727272759"/>
  </r>
  <r>
    <n v="143"/>
    <s v="Ocurest AH  Eye Drops"/>
    <x v="2"/>
    <n v="1"/>
    <s v="Ram Agencies"/>
    <d v="2025-10-06T00:00:00"/>
    <n v="75.472727272727269"/>
    <n v="83.02"/>
    <n v="84.55"/>
    <n v="7.5472727272727269"/>
  </r>
  <r>
    <n v="144"/>
    <s v="Nurokind Gold RF Caps"/>
    <x v="8"/>
    <n v="1"/>
    <s v="Ram Agencies"/>
    <d v="2025-10-06T00:00:00"/>
    <n v="67.709090909090904"/>
    <n v="74.48"/>
    <n v="75.87"/>
    <n v="6.7709090909091003"/>
  </r>
  <r>
    <n v="145"/>
    <s v="Candid Cream"/>
    <x v="1"/>
    <n v="6"/>
    <s v="Ram Agencies"/>
    <d v="2025-10-06T00:00:00"/>
    <n v="65.454545454545453"/>
    <n v="72"/>
    <n v="403.32"/>
    <n v="6.5454545454545467"/>
  </r>
  <r>
    <n v="146"/>
    <s v="Patchex Tab"/>
    <x v="1"/>
    <n v="1"/>
    <s v="Ram Agencies"/>
    <d v="2025-10-06T00:00:00"/>
    <n v="268.10909090909092"/>
    <n v="294.92"/>
    <n v="300.32"/>
    <n v="26.810909090909092"/>
  </r>
  <r>
    <n v="147"/>
    <s v="Patchex Tab"/>
    <x v="1"/>
    <n v="1"/>
    <s v="Ram Agencies"/>
    <d v="2025-10-06T00:00:00"/>
    <n v="268.05454545454546"/>
    <n v="294.86"/>
    <n v="300.32"/>
    <n v="26.805454545454552"/>
  </r>
  <r>
    <n v="148"/>
    <s v="Renerve Plus Caps"/>
    <x v="8"/>
    <n v="1"/>
    <s v="Ram Agencies"/>
    <d v="2025-10-06T00:00:00"/>
    <n v="207.55454545454543"/>
    <n v="228.31"/>
    <n v="232.54"/>
    <n v="20.755454545454569"/>
  </r>
  <r>
    <n v="149"/>
    <s v="Vantej Aqua Mouthwash"/>
    <x v="2"/>
    <n v="1"/>
    <s v="Ram Agencies"/>
    <d v="2025-10-06T00:00:00"/>
    <n v="111.86363636363635"/>
    <n v="123.05"/>
    <n v="140.84"/>
    <n v="11.186363636363652"/>
  </r>
  <r>
    <n v="150"/>
    <s v="Pan D Capsules"/>
    <x v="4"/>
    <n v="10"/>
    <s v="Ram Agencies"/>
    <d v="2025-10-06T00:00:00"/>
    <n v="164.91818181818181"/>
    <n v="181.41"/>
    <n v="1847.66"/>
    <n v="16.491818181818189"/>
  </r>
  <r>
    <n v="151"/>
    <s v="Zerodol SP Tabs"/>
    <x v="8"/>
    <n v="10"/>
    <s v="Ram Agencies"/>
    <d v="2025-10-06T00:00:00"/>
    <n v="96.75454545454545"/>
    <n v="106.43"/>
    <n v="1083.93"/>
    <n v="9.6754545454545564"/>
  </r>
  <r>
    <n v="152"/>
    <s v="Telmikind 20"/>
    <x v="5"/>
    <n v="3"/>
    <s v="RSM Pharma"/>
    <d v="2025-10-07T00:00:00"/>
    <n v="17.618181818181817"/>
    <n v="19.38"/>
    <n v="59.22"/>
    <n v="1.7618181818181817"/>
  </r>
  <r>
    <n v="153"/>
    <s v="ORSL Apple Rehydrate Drink"/>
    <x v="11"/>
    <n v="25"/>
    <s v="RSM Pharma"/>
    <d v="2025-10-07T00:00:00"/>
    <n v="32.418181818181814"/>
    <n v="35.659999999999997"/>
    <n v="936.05"/>
    <n v="3.2418181818181822"/>
  </r>
  <r>
    <n v="154"/>
    <s v="Imograf Ointment"/>
    <x v="13"/>
    <n v="2"/>
    <s v="RSM Pharma"/>
    <d v="2025-10-07T00:00:00"/>
    <n v="103.89999999999999"/>
    <n v="114.29"/>
    <n v="232.8"/>
    <n v="10.390000000000015"/>
  </r>
  <r>
    <n v="155"/>
    <s v="Ebruma Cream"/>
    <x v="1"/>
    <n v="2"/>
    <s v="RSM Pharma"/>
    <d v="2025-10-07T00:00:00"/>
    <n v="373.99999999999994"/>
    <n v="411.4"/>
    <n v="838.02"/>
    <n v="37.400000000000034"/>
  </r>
  <r>
    <n v="156"/>
    <s v="Clavam 625 MG"/>
    <x v="1"/>
    <n v="1"/>
    <s v="RSM Pharma"/>
    <d v="2025-10-07T00:00:00"/>
    <n v="135.39090909090908"/>
    <n v="148.93"/>
    <n v="151.68"/>
    <n v="13.53909090909093"/>
  </r>
  <r>
    <n v="157"/>
    <s v="Patchex Tab"/>
    <x v="1"/>
    <n v="2"/>
    <s v="RSM Pharma"/>
    <d v="2025-10-07T00:00:00"/>
    <n v="268.10909090909092"/>
    <n v="294.92"/>
    <n v="600.74"/>
    <n v="26.810909090909092"/>
  </r>
  <r>
    <n v="158"/>
    <s v="Trinicalm Plus Tab"/>
    <x v="8"/>
    <n v="15"/>
    <s v="RSM Pharma"/>
    <d v="2025-10-07T00:00:00"/>
    <n v="21.036363636363635"/>
    <n v="23.14"/>
    <n v="353.53"/>
    <n v="2.1036363636363653"/>
  </r>
  <r>
    <n v="159"/>
    <s v="Trivolib 1MG Tab "/>
    <x v="9"/>
    <n v="3"/>
    <s v="RSM Pharma"/>
    <d v="2025-10-07T00:00:00"/>
    <n v="172.08181818181816"/>
    <n v="189.29"/>
    <n v="578.37"/>
    <n v="17.208181818181828"/>
  </r>
  <r>
    <n v="160"/>
    <s v="Ascoril LS SYP"/>
    <x v="3"/>
    <n v="7"/>
    <s v="RSM Pharma"/>
    <d v="2025-10-07T00:00:00"/>
    <n v="100.32727272727271"/>
    <n v="110.36"/>
    <n v="736.23"/>
    <n v="10.032727272727286"/>
  </r>
  <r>
    <n v="161"/>
    <s v="Sensodent K (150ML)"/>
    <x v="2"/>
    <n v="2"/>
    <s v="Mahaveer Medi Sales"/>
    <d v="2025-10-07T00:00:00"/>
    <n v="88.963636363636354"/>
    <n v="97.86"/>
    <n v="199.35"/>
    <n v="8.8963636363636454"/>
  </r>
  <r>
    <n v="162"/>
    <s v="No Scars Cream 20GM"/>
    <x v="0"/>
    <n v="1"/>
    <s v="Mahaveer Medi Sales"/>
    <d v="2025-10-07T00:00:00"/>
    <n v="166.36363636363635"/>
    <n v="183"/>
    <n v="192.16"/>
    <n v="16.636363636363654"/>
  </r>
  <r>
    <n v="163"/>
    <s v="Flawlizo Micro 0.1% Gel"/>
    <x v="0"/>
    <n v="1"/>
    <s v="Mahaveer Medi Sales"/>
    <d v="2025-10-07T00:00:00"/>
    <n v="448.0545454545454"/>
    <n v="492.86"/>
    <n v="501.97"/>
    <n v="44.805454545454609"/>
  </r>
  <r>
    <n v="164"/>
    <s v="Cheston Cold Total Tab"/>
    <x v="3"/>
    <n v="10"/>
    <s v="Mahaveer Medi Sales"/>
    <d v="2025-10-07T00:00:00"/>
    <n v="47.499999999999993"/>
    <n v="52.25"/>
    <n v="548.62"/>
    <n v="4.7500000000000071"/>
  </r>
  <r>
    <n v="165"/>
    <s v="Mindruff Scalp Solution"/>
    <x v="2"/>
    <n v="2"/>
    <s v="Avenues Pharma "/>
    <d v="2025-10-08T00:00:00"/>
    <n v="321.42727272727268"/>
    <n v="353.57"/>
    <n v="720.23"/>
    <n v="32.142727272727313"/>
  </r>
  <r>
    <n v="166"/>
    <s v="Ebruma Cream"/>
    <x v="1"/>
    <n v="2"/>
    <s v="Avenues Pharma "/>
    <d v="2025-10-08T00:00:00"/>
    <n v="373.99999999999994"/>
    <n v="411.4"/>
    <n v="838.02"/>
    <n v="37.400000000000034"/>
  </r>
  <r>
    <n v="167"/>
    <s v="Lulikite Cream"/>
    <x v="1"/>
    <n v="2"/>
    <s v="Avenues Pharma "/>
    <d v="2025-10-08T00:00:00"/>
    <n v="407.31818181818181"/>
    <n v="448.05"/>
    <n v="912.68"/>
    <n v="40.731818181818198"/>
  </r>
  <r>
    <n v="168"/>
    <s v="Glykind 60 XR Tab"/>
    <x v="9"/>
    <n v="3"/>
    <s v="Ram Agencies"/>
    <d v="2025-10-08T00:00:00"/>
    <n v="63.218181818181819"/>
    <n v="69.540000000000006"/>
    <n v="212.48"/>
    <n v="6.3218181818181876"/>
  </r>
  <r>
    <n v="169"/>
    <s v="Olmezest AM 40MG Tabs"/>
    <x v="5"/>
    <n v="5"/>
    <s v="Ram Agencies"/>
    <d v="2025-10-08T00:00:00"/>
    <n v="188.30909090909088"/>
    <n v="207.14"/>
    <n v="1054.8699999999999"/>
    <n v="18.830909090909103"/>
  </r>
  <r>
    <n v="170"/>
    <s v="Tazloc Beta 25MG Tabs"/>
    <x v="5"/>
    <n v="10"/>
    <s v="Ram Agencies"/>
    <d v="2025-10-08T00:00:00"/>
    <n v="133.76363636363635"/>
    <n v="147.13999999999999"/>
    <n v="1498.62"/>
    <n v="13.376363636363635"/>
  </r>
  <r>
    <n v="171"/>
    <s v="Pilex Tabs"/>
    <x v="12"/>
    <n v="1"/>
    <s v="Ram Agencies"/>
    <d v="2025-10-08T00:00:00"/>
    <n v="162.07272727272726"/>
    <n v="178.28"/>
    <n v="181.57"/>
    <n v="16.207272727272738"/>
  </r>
  <r>
    <n v="172"/>
    <s v="Reclide 40 Tablets"/>
    <x v="9"/>
    <n v="4"/>
    <s v="Ram Agencies"/>
    <d v="2025-10-08T00:00:00"/>
    <n v="56"/>
    <n v="61.6"/>
    <n v="250.97"/>
    <n v="5.6000000000000014"/>
  </r>
  <r>
    <n v="173"/>
    <s v="Mox 250MG Redimix 60ML"/>
    <x v="1"/>
    <n v="1"/>
    <s v="Ram Agencies"/>
    <d v="2025-10-08T00:00:00"/>
    <n v="69.181818181818173"/>
    <n v="76.099999999999994"/>
    <n v="77.52"/>
    <n v="6.9181818181818215"/>
  </r>
  <r>
    <n v="174"/>
    <s v="Telemikind-H 80 Tabs"/>
    <x v="5"/>
    <n v="1"/>
    <s v="Ram Agencies"/>
    <d v="2025-10-08T00:00:00"/>
    <n v="97.745454545454535"/>
    <n v="107.52"/>
    <n v="109.51"/>
    <n v="9.7745454545454606"/>
  </r>
  <r>
    <n v="175"/>
    <s v="Naprosyn+250MG 15S"/>
    <x v="8"/>
    <n v="2"/>
    <s v="Ram Agencies"/>
    <d v="2025-10-08T00:00:00"/>
    <n v="75.127272727272725"/>
    <n v="82.64"/>
    <n v="168.34"/>
    <n v="7.5127272727272754"/>
  </r>
  <r>
    <n v="176"/>
    <s v="Glycomet GP 1 Tabs"/>
    <x v="9"/>
    <n v="10"/>
    <s v="Ram Agencies"/>
    <d v="2025-10-08T00:00:00"/>
    <n v="85.390909090909091"/>
    <n v="93.93"/>
    <n v="956.68"/>
    <n v="8.5390909090909162"/>
  </r>
  <r>
    <n v="177"/>
    <s v="Nurokind LC Tabs"/>
    <x v="8"/>
    <n v="6"/>
    <s v="Ram Agencies"/>
    <d v="2025-10-08T00:00:00"/>
    <n v="165.48181818181817"/>
    <n v="182.03"/>
    <n v="1019.69"/>
    <n v="16.548181818181831"/>
  </r>
  <r>
    <n v="178"/>
    <s v="Tenepride 20 Tabs"/>
    <x v="9"/>
    <n v="2"/>
    <s v="Ram Agencies"/>
    <d v="2025-10-08T00:00:00"/>
    <n v="241.94545454545451"/>
    <n v="266.14"/>
    <n v="542.13"/>
    <n v="24.194545454545477"/>
  </r>
  <r>
    <n v="179"/>
    <s v="Shelcal 500 Tabs"/>
    <x v="11"/>
    <n v="5"/>
    <s v="Ram Agencies"/>
    <d v="2025-10-08T00:00:00"/>
    <n v="102.96363636363635"/>
    <n v="113.26"/>
    <n v="576.77"/>
    <n v="10.296363636363651"/>
  </r>
  <r>
    <n v="180"/>
    <s v="Duphalac Syrup"/>
    <x v="4"/>
    <n v="2"/>
    <s v="Ram Agencies"/>
    <d v="2025-10-08T00:00:00"/>
    <n v="136.36363636363635"/>
    <n v="150"/>
    <n v="305.56"/>
    <n v="13.636363636363654"/>
  </r>
  <r>
    <n v="181"/>
    <s v="Beatdine 0.2%"/>
    <x v="12"/>
    <n v="1"/>
    <s v="Ram Agencies"/>
    <d v="2025-10-08T00:00:00"/>
    <n v="216.88181818181815"/>
    <n v="238.57"/>
    <n v="242.99"/>
    <n v="21.688181818181846"/>
  </r>
  <r>
    <n v="182"/>
    <s v="Lacryl Hydrate Eye Drops"/>
    <x v="2"/>
    <n v="3"/>
    <s v="RSM Pharma"/>
    <d v="2025-10-08T00:00:00"/>
    <n v="357.79090909090905"/>
    <n v="393.57"/>
    <n v="1202.55"/>
    <n v="35.779090909090939"/>
  </r>
  <r>
    <n v="183"/>
    <s v="Lulipex Cream"/>
    <x v="1"/>
    <n v="1"/>
    <s v="RSM Pharma"/>
    <d v="2025-10-08T00:00:00"/>
    <n v="92.527272727272717"/>
    <n v="101.78"/>
    <n v="103.67"/>
    <n v="9.2527272727272845"/>
  </r>
  <r>
    <n v="184"/>
    <s v="EBAL 20"/>
    <x v="2"/>
    <n v="10"/>
    <s v="RSM Pharma"/>
    <d v="2025-10-08T00:00:00"/>
    <n v="74.354545454545459"/>
    <n v="81.790000000000006"/>
    <n v="833.02"/>
    <n v="7.4354545454545473"/>
  </r>
  <r>
    <n v="185"/>
    <s v="Beatdine Gargle 2% Mint"/>
    <x v="2"/>
    <n v="1"/>
    <s v="RSM Pharma"/>
    <d v="2025-10-08T00:00:00"/>
    <n v="216.88181818181815"/>
    <n v="238.57"/>
    <n v="242.99"/>
    <n v="21.688181818181846"/>
  </r>
  <r>
    <n v="186"/>
    <s v="Cardace 5mg Tab"/>
    <x v="5"/>
    <n v="2"/>
    <s v="RSM Pharma"/>
    <d v="2025-10-08T00:00:00"/>
    <n v="89.23636363636362"/>
    <n v="98.16"/>
    <n v="199.95"/>
    <n v="8.9236363636363762"/>
  </r>
  <r>
    <n v="187"/>
    <s v="Kailas Jeevan Cream"/>
    <x v="12"/>
    <n v="1"/>
    <s v="RSM Pharma"/>
    <d v="2025-10-08T00:00:00"/>
    <n v="44.845454545454537"/>
    <n v="49.33"/>
    <n v="51.79"/>
    <n v="4.4845454545454615"/>
  </r>
  <r>
    <n v="188"/>
    <s v="Seroflo-250 Inhaler"/>
    <x v="6"/>
    <n v="1"/>
    <s v="RSM Pharma"/>
    <d v="2025-10-08T00:00:00"/>
    <n v="633.58181818181822"/>
    <n v="696.94"/>
    <n v="709.83"/>
    <n v="63.358181818181833"/>
  </r>
  <r>
    <n v="189"/>
    <s v="Dermadew PMX Anti itch Lotion"/>
    <x v="0"/>
    <n v="2"/>
    <s v="RSM Pharma"/>
    <d v="2025-10-08T00:00:00"/>
    <n v="292.75454545454539"/>
    <n v="322.02999999999997"/>
    <n v="737.2"/>
    <n v="29.275454545454579"/>
  </r>
  <r>
    <n v="190"/>
    <s v="Rozat 5MG Tab"/>
    <x v="5"/>
    <n v="2"/>
    <s v="RSM Pharma"/>
    <d v="2025-10-08T00:00:00"/>
    <n v="118.18181818181817"/>
    <n v="130"/>
    <n v="264.82"/>
    <n v="11.818181818181827"/>
  </r>
  <r>
    <n v="191"/>
    <s v="Picon Cream 10gm"/>
    <x v="1"/>
    <n v="2"/>
    <s v="RSM Pharma"/>
    <d v="2025-10-08T00:00:00"/>
    <n v="457.85454545454542"/>
    <n v="503.64"/>
    <n v="1025.92"/>
    <n v="45.78545454545457"/>
  </r>
  <r>
    <n v="192"/>
    <s v="Kailas Jeevan Cream"/>
    <x v="12"/>
    <n v="2"/>
    <s v="RSM Pharma"/>
    <d v="2025-10-08T00:00:00"/>
    <n v="103.49090909090908"/>
    <n v="113.84"/>
    <n v="239.06"/>
    <n v="10.349090909090918"/>
  </r>
  <r>
    <n v="193"/>
    <s v="Dazit 10MG Tab"/>
    <x v="1"/>
    <n v="4"/>
    <s v="RSM Pharma"/>
    <d v="2025-10-08T00:00:00"/>
    <n v="182.46363636363637"/>
    <n v="200.71"/>
    <n v="817.69"/>
    <n v="18.24636363636364"/>
  </r>
  <r>
    <n v="194"/>
    <s v="Tyza M Cream"/>
    <x v="1"/>
    <n v="5"/>
    <s v="RSM Pharma"/>
    <d v="2025-10-08T00:00:00"/>
    <n v="86.75454545454545"/>
    <n v="95.43"/>
    <n v="485.98"/>
    <n v="8.6754545454545564"/>
  </r>
  <r>
    <n v="195"/>
    <s v="Candid Cream"/>
    <x v="1"/>
    <n v="1"/>
    <s v="RSM Pharma"/>
    <d v="2025-10-08T00:00:00"/>
    <n v="65.454545454545453"/>
    <n v="72"/>
    <n v="485.98"/>
    <n v="6.5454545454545467"/>
  </r>
  <r>
    <n v="196"/>
    <s v="Propysalic Plus 3% Lotion"/>
    <x v="1"/>
    <n v="2"/>
    <s v="RSM Pharma"/>
    <d v="2025-10-08T00:00:00"/>
    <n v="71.427272727272722"/>
    <n v="78.569999999999993"/>
    <n v="160.05000000000001"/>
    <n v="7.1427272727272708"/>
  </r>
  <r>
    <n v="197"/>
    <s v="Syndopa Plus 15 "/>
    <x v="8"/>
    <n v="10"/>
    <s v="RSM Pharma"/>
    <d v="2025-10-08T00:00:00"/>
    <n v="28.518181818181816"/>
    <n v="31.37"/>
    <n v="319.51"/>
    <n v="2.8518181818181851"/>
  </r>
  <r>
    <n v="198"/>
    <s v="Bilashine 40MG Tab"/>
    <x v="1"/>
    <n v="10"/>
    <s v="RSM Pharma"/>
    <d v="2025-10-08T00:00:00"/>
    <n v="153.24545454545452"/>
    <n v="168.57"/>
    <n v="1716.89"/>
    <n v="15.324545454545472"/>
  </r>
  <r>
    <n v="199"/>
    <s v="Betadine 10% Solution"/>
    <x v="12"/>
    <n v="1"/>
    <s v="RSM Pharma"/>
    <d v="2025-10-08T00:00:00"/>
    <n v="74.836363636363629"/>
    <n v="82.32"/>
    <n v="84.71"/>
    <n v="7.4836363636363643"/>
  </r>
  <r>
    <n v="200"/>
    <s v="Gelusil MPS Liquid 400 ML"/>
    <x v="4"/>
    <n v="5"/>
    <s v="RSM Pharma"/>
    <d v="2025-10-08T00:00:00"/>
    <n v="164.97272727272727"/>
    <n v="181.47"/>
    <n v="924.13"/>
    <n v="16.49727272727273"/>
  </r>
  <r>
    <n v="201"/>
    <s v="Rexidin SRS Mouth Wash"/>
    <x v="2"/>
    <n v="1"/>
    <s v="RSM Pharma"/>
    <d v="2025-10-08T00:00:00"/>
    <n v="113.63636363636363"/>
    <n v="125"/>
    <n v="127.31"/>
    <n v="11.363636363636374"/>
  </r>
  <r>
    <n v="202"/>
    <s v="Dersol 3% Ointment"/>
    <x v="0"/>
    <n v="1"/>
    <s v="RSM Pharma"/>
    <d v="2025-10-08T00:00:00"/>
    <n v="36.490909090909085"/>
    <n v="40.14"/>
    <n v="40.880000000000003"/>
    <n v="3.6490909090909156"/>
  </r>
  <r>
    <n v="203"/>
    <s v="Alista MP 500 Tablets"/>
    <x v="0"/>
    <n v="2"/>
    <s v="Mahaveer Medi Sales"/>
    <d v="2025-10-09T00:00:00"/>
    <n v="132.14545454545456"/>
    <n v="145.36000000000001"/>
    <n v="296.10000000000002"/>
    <n v="13.214545454545458"/>
  </r>
  <r>
    <n v="204"/>
    <s v="Mintop Alcohol Free 5% Solution"/>
    <x v="0"/>
    <n v="1"/>
    <s v="Mahaveer Medi Sales"/>
    <d v="2025-10-09T00:00:00"/>
    <n v="794.31818181818176"/>
    <n v="873.75"/>
    <n v="889.92"/>
    <n v="79.431818181818244"/>
  </r>
  <r>
    <n v="205"/>
    <s v="Luliford Cream 20gm"/>
    <x v="0"/>
    <n v="1"/>
    <s v="Mahaveer Medi Sales"/>
    <d v="2025-10-09T00:00:00"/>
    <n v="43.636363636363633"/>
    <n v="48"/>
    <n v="50.4"/>
    <n v="4.3636363636363669"/>
  </r>
  <r>
    <n v="206"/>
    <s v="Glycomet Trio 1MG Tab"/>
    <x v="1"/>
    <n v="2"/>
    <s v="Mahaveer Medi Sales"/>
    <d v="2025-10-09T00:00:00"/>
    <n v="111.13636363636363"/>
    <n v="122.25"/>
    <n v="249.03"/>
    <n v="11.113636363636374"/>
  </r>
  <r>
    <n v="207"/>
    <s v="Luliford Cream 30gm"/>
    <x v="1"/>
    <n v="1"/>
    <s v="Mahaveer Medi Sales"/>
    <d v="2025-10-09T00:00:00"/>
    <n v="54.54545454545454"/>
    <n v="60"/>
    <n v="63"/>
    <n v="5.4545454545454604"/>
  </r>
  <r>
    <n v="208"/>
    <s v="Istamet 50MG/500MG Tab"/>
    <x v="0"/>
    <n v="2"/>
    <s v="Mahaveer Medi Sales"/>
    <d v="2025-10-09T00:00:00"/>
    <n v="111.03636363636363"/>
    <n v="122.14"/>
    <n v="248.79"/>
    <n v="11.103636363636369"/>
  </r>
  <r>
    <n v="209"/>
    <s v="Ivoral Forte Tab©"/>
    <x v="1"/>
    <n v="1"/>
    <s v="Mahaveer Medi Sales"/>
    <d v="2025-10-09T00:00:00"/>
    <n v="35.927272727272729"/>
    <n v="39.520000000000003"/>
    <n v="40.25"/>
    <n v="3.5927272727272737"/>
  </r>
  <r>
    <n v="210"/>
    <s v="Sompraz 40MG Tab"/>
    <x v="13"/>
    <n v="1"/>
    <s v="Mahaveer Medi Sales"/>
    <d v="2025-10-09T00:00:00"/>
    <n v="116.88181818181816"/>
    <n v="128.57"/>
    <n v="130.94999999999999"/>
    <n v="11.688181818181832"/>
  </r>
  <r>
    <n v="211"/>
    <s v="Ulgel Elaichi Susp"/>
    <x v="13"/>
    <n v="1"/>
    <s v="Mahaveer Medi Sales"/>
    <d v="2025-10-09T00:00:00"/>
    <n v="112.39999999999999"/>
    <n v="123.64"/>
    <n v="125.93"/>
    <n v="11.240000000000009"/>
  </r>
  <r>
    <n v="212"/>
    <s v="Thickify Ampm Tab"/>
    <x v="1"/>
    <n v="1"/>
    <s v="Mahaveer Medi Sales"/>
    <d v="2025-10-09T00:00:00"/>
    <n v="252.70000000000002"/>
    <n v="277.97000000000003"/>
    <n v="283.11"/>
    <n v="25.27000000000001"/>
  </r>
  <r>
    <n v="213"/>
    <s v="Freelac Oral Solution 100M"/>
    <x v="1"/>
    <n v="2"/>
    <s v="Mahaveer Medi Sales"/>
    <d v="2025-10-09T00:00:00"/>
    <n v="76.354545454545445"/>
    <n v="83.99"/>
    <n v="176.36"/>
    <n v="7.6354545454545502"/>
  </r>
  <r>
    <n v="214"/>
    <s v="Lantus Catridge"/>
    <x v="3"/>
    <n v="1"/>
    <s v="Sri Parshva Distributors"/>
    <d v="2025-10-09T00:00:00"/>
    <n v="2330.2909090909088"/>
    <n v="2563.3200000000002"/>
    <n v="2610.7399999999998"/>
    <n v="233.02909090909134"/>
  </r>
  <r>
    <n v="215"/>
    <s v="Minichek Solution "/>
    <x v="1"/>
    <n v="1"/>
    <s v="RSM Pharma"/>
    <d v="2025-10-09T00:00:00"/>
    <n v="687.87272727272716"/>
    <n v="756.66"/>
    <n v="770.66"/>
    <n v="68.787272727272807"/>
  </r>
  <r>
    <n v="216"/>
    <s v="EBAL 20"/>
    <x v="13"/>
    <n v="10"/>
    <s v="RSM Pharma"/>
    <d v="2025-10-09T00:00:00"/>
    <n v="74.354545454545459"/>
    <n v="81.790000000000006"/>
    <n v="833.02"/>
    <n v="7.4354545454545473"/>
  </r>
  <r>
    <n v="217"/>
    <s v="Petril MD 0.25mg Tab"/>
    <x v="1"/>
    <n v="1"/>
    <s v="RSM Pharma"/>
    <d v="2025-10-09T00:00:00"/>
    <n v="22.027272727272727"/>
    <n v="24.23"/>
    <n v="24.68"/>
    <n v="2.2027272727272731"/>
  </r>
  <r>
    <n v="218"/>
    <s v="Gluconorm SR Tab "/>
    <x v="1"/>
    <n v="3"/>
    <s v="RSM Pharma"/>
    <d v="2025-10-09T00:00:00"/>
    <n v="22.372727272727271"/>
    <n v="24.61"/>
    <n v="79.2"/>
    <n v="2.2372727272727282"/>
  </r>
  <r>
    <n v="219"/>
    <s v="Reclide 80MG Tab"/>
    <x v="4"/>
    <n v="4"/>
    <s v="RSM Pharma"/>
    <d v="2025-10-09T00:00:00"/>
    <n v="94.154545454545442"/>
    <n v="103.57"/>
    <n v="421.96"/>
    <n v="9.4154545454545513"/>
  </r>
  <r>
    <n v="220"/>
    <s v="Oilatum Kids Bar"/>
    <x v="1"/>
    <n v="1"/>
    <s v="RSM Pharma"/>
    <d v="2025-10-09T00:00:00"/>
    <n v="81.445454545454538"/>
    <n v="89.59"/>
    <n v="102.54"/>
    <n v="8.1445454545454652"/>
  </r>
  <r>
    <n v="221"/>
    <s v="Gabaneuron NT 100MG Tab"/>
    <x v="4"/>
    <n v="2"/>
    <s v="RSM Pharma"/>
    <d v="2025-10-09T00:00:00"/>
    <n v="124.34545454545453"/>
    <n v="136.78"/>
    <n v="278.81"/>
    <n v="12.434545454545471"/>
  </r>
  <r>
    <n v="222"/>
    <s v="Volini Gel 100gm"/>
    <x v="5"/>
    <n v="4"/>
    <s v="RSM Pharma"/>
    <d v="2025-10-09T00:00:00"/>
    <n v="242.20909090909089"/>
    <n v="266.43"/>
    <n v="963.34"/>
    <n v="24.220909090909117"/>
  </r>
  <r>
    <n v="223"/>
    <s v="Sizopin 25MG Tab"/>
    <x v="4"/>
    <n v="1"/>
    <s v="RSM Pharma"/>
    <d v="2025-10-09T00:00:00"/>
    <n v="20.563636363636363"/>
    <n v="22.62"/>
    <n v="23.04"/>
    <n v="2.0563636363636384"/>
  </r>
  <r>
    <n v="224"/>
    <s v="Rosuvas F 10MG "/>
    <x v="5"/>
    <n v="2"/>
    <s v="RSM Pharma"/>
    <d v="2025-10-09T00:00:00"/>
    <n v="290.25454545454539"/>
    <n v="319.27999999999997"/>
    <n v="650.38"/>
    <n v="29.025454545454579"/>
  </r>
  <r>
    <n v="225"/>
    <s v="Amrith Noni Artho Plus Liquid "/>
    <x v="0"/>
    <n v="2"/>
    <s v="RSM Pharma"/>
    <d v="2025-10-09T00:00:00"/>
    <n v="1131.4909090909091"/>
    <n v="1244.6400000000001"/>
    <n v="2535.34"/>
    <n v="113.149090909091"/>
  </r>
  <r>
    <n v="226"/>
    <s v="Mox 250MG Redimix 60ML"/>
    <x v="1"/>
    <n v="1"/>
    <s v="RSM Pharma"/>
    <d v="2025-10-09T00:00:00"/>
    <n v="69.181818181818173"/>
    <n v="76.099999999999994"/>
    <n v="77.52"/>
    <n v="6.9181818181818215"/>
  </r>
  <r>
    <n v="227"/>
    <s v="Imojac Ointment"/>
    <x v="0"/>
    <n v="5"/>
    <s v="5S Pharma Distributions"/>
    <d v="2025-10-10T00:00:00"/>
    <n v="448.13636363636357"/>
    <n v="492.95"/>
    <n v="2510.35"/>
    <n v="44.813636363636419"/>
  </r>
  <r>
    <n v="228"/>
    <s v="Sensoform Paint 20ML"/>
    <x v="0"/>
    <n v="5"/>
    <s v="RSM Pharma"/>
    <d v="2025-10-10T00:00:00"/>
    <n v="84.090909090909079"/>
    <n v="92.5"/>
    <n v="471.07"/>
    <n v="8.4090909090909207"/>
  </r>
  <r>
    <n v="229"/>
    <s v="Zimvir 500MG Tab"/>
    <x v="6"/>
    <n v="7"/>
    <s v="RSM Pharma"/>
    <d v="2025-10-10T00:00:00"/>
    <n v="107.36363636363635"/>
    <n v="118.1"/>
    <n v="842"/>
    <n v="10.736363636363649"/>
  </r>
  <r>
    <n v="230"/>
    <s v="Zimvir 1000MG Tab"/>
    <x v="6"/>
    <n v="7"/>
    <s v="RSM Pharma"/>
    <d v="2025-10-10T00:00:00"/>
    <n v="172.1090909090909"/>
    <n v="189.32"/>
    <n v="1349.76"/>
    <n v="17.210909090909098"/>
  </r>
  <r>
    <n v="231"/>
    <s v="Mascart CL"/>
    <x v="0"/>
    <n v="2"/>
    <s v="RSM Pharma"/>
    <d v="2025-10-10T00:00:00"/>
    <n v="96.636363636363626"/>
    <n v="106.3"/>
    <n v="216.54"/>
    <n v="9.6636363636363711"/>
  </r>
  <r>
    <n v="232"/>
    <s v="Kerabright Keratin Shampoo"/>
    <x v="0"/>
    <n v="1"/>
    <s v="RSM Pharma"/>
    <d v="2025-10-10T00:00:00"/>
    <n v="348.95454545454544"/>
    <n v="383.85"/>
    <n v="390.95"/>
    <n v="34.895454545454584"/>
  </r>
  <r>
    <n v="233"/>
    <s v="Premarin 0.625MG Tab"/>
    <x v="6"/>
    <n v="1"/>
    <s v="RSM Pharma"/>
    <d v="2025-10-10T00:00:00"/>
    <n v="897.09090909090901"/>
    <n v="986.8"/>
    <n v="1005.06"/>
    <n v="89.709090909090946"/>
  </r>
  <r>
    <n v="234"/>
    <s v="Ascoril+ Expt 120ML"/>
    <x v="2"/>
    <n v="7"/>
    <s v="RSM Pharma"/>
    <d v="2025-10-10T00:00:00"/>
    <n v="109.41818181818181"/>
    <n v="120.36"/>
    <n v="802.95"/>
    <n v="10.941818181818192"/>
  </r>
  <r>
    <n v="235"/>
    <s v="Megaheal Gel 50GM"/>
    <x v="2"/>
    <n v="1"/>
    <s v="RSM Pharma"/>
    <d v="2025-10-10T00:00:00"/>
    <n v="251.69090909090909"/>
    <n v="276.86"/>
    <n v="272.82"/>
    <n v="25.169090909090926"/>
  </r>
  <r>
    <n v="236"/>
    <s v="Amlong 2.5MG Tab"/>
    <x v="2"/>
    <n v="5"/>
    <s v="RSM Pharma"/>
    <d v="2025-10-10T00:00:00"/>
    <n v="19.845454545454544"/>
    <n v="21.83"/>
    <n v="111.18"/>
    <n v="1.9845454545454544"/>
  </r>
  <r>
    <n v="237"/>
    <s v="Epilyno Lotion"/>
    <x v="8"/>
    <n v="2"/>
    <s v="RSM Pharma"/>
    <d v="2025-10-10T00:00:00"/>
    <n v="323.59090909090907"/>
    <n v="355.95"/>
    <n v="814.84"/>
    <n v="32.359090909090924"/>
  </r>
  <r>
    <n v="238"/>
    <s v="Accu Chek "/>
    <x v="6"/>
    <n v="1"/>
    <s v="RSM Pharma"/>
    <d v="2025-10-10T00:00:00"/>
    <n v="807.16363636363633"/>
    <n v="887.88"/>
    <n v="904.3"/>
    <n v="80.716363636363667"/>
  </r>
  <r>
    <n v="239"/>
    <s v="Accu Chek "/>
    <x v="6"/>
    <n v="1"/>
    <s v="RSM Pharma"/>
    <d v="2025-10-19T00:00:00"/>
    <n v="807.16363636363633"/>
    <n v="887.88"/>
    <n v="904.3"/>
    <n v="80.716363636363667"/>
  </r>
  <r>
    <n v="240"/>
    <s v="Siloderm Cream"/>
    <x v="4"/>
    <n v="1"/>
    <s v="RSM Pharma"/>
    <d v="2025-10-10T00:00:00"/>
    <n v="65.25454545454545"/>
    <n v="71.78"/>
    <n v="73.11"/>
    <n v="6.5254545454545507"/>
  </r>
  <r>
    <n v="241"/>
    <s v="D 500 Cal Tab"/>
    <x v="10"/>
    <n v="2"/>
    <s v="RSM Pharma"/>
    <d v="2025-10-10T00:00:00"/>
    <n v="55.581818181818178"/>
    <n v="61.14"/>
    <n v="124.55"/>
    <n v="5.5581818181818221"/>
  </r>
  <r>
    <n v="242"/>
    <s v="Navison Classic Spray"/>
    <x v="0"/>
    <n v="5"/>
    <s v="RSM Pharma"/>
    <d v="2025-10-10T00:00:00"/>
    <n v="77.86363636363636"/>
    <n v="85.65"/>
    <n v="436.18"/>
    <n v="7.7863636363636459"/>
  </r>
  <r>
    <n v="243"/>
    <s v="Mucaine Gel Mint "/>
    <x v="4"/>
    <n v="1"/>
    <s v="Ram Agencies"/>
    <d v="2025-10-11T00:00:00"/>
    <n v="223.89090909090908"/>
    <n v="246.28"/>
    <n v="250.83"/>
    <n v="22.389090909090925"/>
  </r>
  <r>
    <n v="244"/>
    <s v="Atogla Lotion"/>
    <x v="0"/>
    <n v="1"/>
    <s v="Ram Agencies"/>
    <d v="2025-10-11T00:00:00"/>
    <n v="391.37272727272722"/>
    <n v="430.51"/>
    <n v="492.75"/>
    <n v="39.137272727272773"/>
  </r>
  <r>
    <n v="245"/>
    <s v="MX-F 5% Topical Solution"/>
    <x v="2"/>
    <n v="1"/>
    <s v="Ram Agencies"/>
    <d v="2025-10-11T00:00:00"/>
    <n v="568.18181818181813"/>
    <n v="625"/>
    <n v="636.57000000000005"/>
    <n v="56.81818181818187"/>
  </r>
  <r>
    <n v="246"/>
    <s v="Moisturex Hydra Gel"/>
    <x v="0"/>
    <n v="3"/>
    <s v="Ram Agencies"/>
    <d v="2025-10-11T00:00:00"/>
    <n v="264.40909090909093"/>
    <n v="290.85000000000002"/>
    <n v="998.71"/>
    <n v="26.440909090909088"/>
  </r>
  <r>
    <n v="247"/>
    <s v="Meganeuron OD Plus"/>
    <x v="11"/>
    <n v="2"/>
    <s v="Ram Agencies"/>
    <d v="2025-10-11T00:00:00"/>
    <n v="113.63636363636363"/>
    <n v="125"/>
    <n v="254.62"/>
    <n v="11.363636363636374"/>
  </r>
  <r>
    <n v="248"/>
    <s v="Hhsone Cream"/>
    <x v="1"/>
    <n v="1"/>
    <s v="Ram Agencies"/>
    <d v="2025-10-11T00:00:00"/>
    <n v="246.09999999999997"/>
    <n v="270.70999999999998"/>
    <n v="275.70999999999998"/>
    <n v="24.610000000000014"/>
  </r>
  <r>
    <n v="249"/>
    <s v="Macsart CL Tab"/>
    <x v="5"/>
    <n v="3"/>
    <s v="Ram Agencies"/>
    <d v="2025-10-11T00:00:00"/>
    <n v="96.636363636363626"/>
    <n v="106.3"/>
    <n v="324.79000000000002"/>
    <n v="9.6636363636363711"/>
  </r>
  <r>
    <n v="250"/>
    <s v="Envas 10MG Tab"/>
    <x v="5"/>
    <n v="1"/>
    <s v="Ram Agencies"/>
    <d v="2025-10-11T00:00:00"/>
    <n v="64.281818181818167"/>
    <n v="70.709999999999994"/>
    <n v="72.010000000000005"/>
    <n v="6.4281818181818267"/>
  </r>
  <r>
    <n v="251"/>
    <s v="Stolin Gum Astringent"/>
    <x v="2"/>
    <n v="1"/>
    <s v="Ram Agencies"/>
    <d v="2025-10-11T00:00:00"/>
    <n v="82.954545454545453"/>
    <n v="91.25"/>
    <n v="92.93"/>
    <n v="8.2954545454545467"/>
  </r>
  <r>
    <n v="252"/>
    <s v="02 New Suspension"/>
    <x v="1"/>
    <n v="4"/>
    <s v="Ram Agencies"/>
    <d v="2025-10-11T00:00:00"/>
    <n v="53.890909090909091"/>
    <n v="59.28"/>
    <n v="241.51"/>
    <n v="5.3890909090909105"/>
  </r>
  <r>
    <n v="253"/>
    <s v="Seloken XL 25MG Tab"/>
    <x v="5"/>
    <n v="2"/>
    <s v="Ram Agencies"/>
    <d v="2025-10-11T00:00:00"/>
    <n v="95.999999999999986"/>
    <n v="105.6"/>
    <n v="217.32"/>
    <n v="9.6000000000000085"/>
  </r>
  <r>
    <n v="254"/>
    <s v="Shelcal HD Tab"/>
    <x v="11"/>
    <n v="5"/>
    <s v="Ram Agencies"/>
    <d v="2025-10-11T00:00:00"/>
    <n v="107.7090909090909"/>
    <n v="118.48"/>
    <n v="603.37"/>
    <n v="10.7709090909091"/>
  </r>
  <r>
    <n v="255"/>
    <s v="Ascoril SF Syrup"/>
    <x v="3"/>
    <n v="1"/>
    <s v="Ram Agencies"/>
    <d v="2025-10-11T00:00:00"/>
    <n v="109.41818181818181"/>
    <n v="120.36"/>
    <n v="122.59"/>
    <n v="10.941818181818192"/>
  </r>
  <r>
    <n v="256"/>
    <s v="P-500 Suspension"/>
    <x v="8"/>
    <n v="1"/>
    <s v="Ram Agencies"/>
    <d v="2025-10-11T00:00:00"/>
    <n v="30.981818181818177"/>
    <n v="34.08"/>
    <n v="34.72"/>
    <n v="3.0981818181818213"/>
  </r>
  <r>
    <n v="257"/>
    <s v="Thhronorm-50"/>
    <x v="11"/>
    <n v="3"/>
    <s v="Ram Agencies"/>
    <d v="2025-10-11T00:00:00"/>
    <n v="91.445454545454538"/>
    <n v="100.59"/>
    <n v="307.36"/>
    <n v="9.1445454545454652"/>
  </r>
  <r>
    <n v="258"/>
    <s v="Hum-Actrapid"/>
    <x v="9"/>
    <n v="1"/>
    <s v="Ram Agencies"/>
    <d v="2025-10-11T00:00:00"/>
    <n v="131.91818181818181"/>
    <n v="145.11000000000001"/>
    <n v="149.33000000000001"/>
    <n v="13.191818181818206"/>
  </r>
  <r>
    <n v="259"/>
    <s v="Glynium VT Inhaler"/>
    <x v="6"/>
    <n v="1"/>
    <s v="RSM Pharma"/>
    <d v="2025-10-11T00:00:00"/>
    <n v="518.82727272727277"/>
    <n v="570.71"/>
    <n v="581.27"/>
    <n v="51.882727272727266"/>
  </r>
  <r>
    <n v="260"/>
    <s v="Coaltar S Lotion"/>
    <x v="0"/>
    <n v="1"/>
    <s v="RSM Pharma"/>
    <d v="2025-10-11T00:00:00"/>
    <n v="226.6272727272727"/>
    <n v="249.29"/>
    <n v="253.91"/>
    <n v="22.662727272727295"/>
  </r>
  <r>
    <n v="261"/>
    <s v="Roseday 10MG Tab"/>
    <x v="5"/>
    <n v="2"/>
    <s v="RSM Pharma"/>
    <d v="2025-10-11T00:00:00"/>
    <n v="147.39999999999998"/>
    <n v="162.13999999999999"/>
    <n v="330.27"/>
    <n v="14.740000000000009"/>
  </r>
  <r>
    <n v="262"/>
    <s v="Canesten Cream 30GM"/>
    <x v="1"/>
    <n v="1"/>
    <s v="RSM Pharma"/>
    <d v="2025-10-11T00:00:00"/>
    <n v="64.936363636363637"/>
    <n v="71.430000000000007"/>
    <n v="73.5"/>
    <n v="6.4936363636363694"/>
  </r>
  <r>
    <n v="263"/>
    <s v="Omnix 100 Dry Syrup"/>
    <x v="1"/>
    <n v="1"/>
    <s v="RSM Pharma"/>
    <d v="2025-10-11T00:00:00"/>
    <n v="53.009090909090908"/>
    <n v="58.31"/>
    <n v="59.38"/>
    <n v="5.3009090909090943"/>
  </r>
  <r>
    <n v="264"/>
    <s v="Lumispark Cream 20G"/>
    <x v="0"/>
    <n v="5"/>
    <s v="Sri Vignesh Pharma"/>
    <d v="2025-10-12T00:00:00"/>
    <n v="369.18181818181819"/>
    <n v="406.1"/>
    <n v="2324"/>
    <n v="36.918181818181836"/>
  </r>
  <r>
    <n v="265"/>
    <s v="Torvate 500MG Tab"/>
    <x v="8"/>
    <n v="5"/>
    <s v="RSM Pharma"/>
    <d v="2025-10-12T00:00:00"/>
    <n v="40.272727272727266"/>
    <n v="44.3"/>
    <n v="225.6"/>
    <n v="4.0272727272727309"/>
  </r>
  <r>
    <n v="266"/>
    <s v="Triclear N Gel 20GM"/>
    <x v="0"/>
    <n v="1"/>
    <s v="RSM Pharma"/>
    <d v="2025-10-12T00:00:00"/>
    <n v="292.20909090909089"/>
    <n v="321.43"/>
    <n v="327.37"/>
    <n v="29.220909090909117"/>
  </r>
  <r>
    <n v="267"/>
    <s v="Carmax Cap"/>
    <x v="11"/>
    <n v="5"/>
    <s v="RSM Pharma"/>
    <d v="2025-10-12T00:00:00"/>
    <n v="203.89999999999998"/>
    <n v="224.29"/>
    <n v="1039.4000000000001"/>
    <n v="20.390000000000015"/>
  </r>
  <r>
    <n v="268"/>
    <s v="Lifanta Eye Drops"/>
    <x v="2"/>
    <n v="1"/>
    <s v="RSM Pharma"/>
    <d v="2025-10-12T00:00:00"/>
    <n v="506.49090909090904"/>
    <n v="557.14"/>
    <n v="567.45000000000005"/>
    <n v="50.649090909090944"/>
  </r>
  <r>
    <n v="269"/>
    <s v="Aquasoft FC Cream"/>
    <x v="0"/>
    <n v="1"/>
    <s v="RSM Pharma"/>
    <d v="2025-10-12T00:00:00"/>
    <n v="180.58181818181816"/>
    <n v="198.64"/>
    <n v="227.36"/>
    <n v="18.058181818181822"/>
  </r>
  <r>
    <n v="270"/>
    <s v="Zincovit Syrup"/>
    <x v="11"/>
    <n v="1"/>
    <s v="RSM Pharma"/>
    <d v="2025-10-12T00:00:00"/>
    <n v="110.93636363636362"/>
    <n v="122.03"/>
    <n v="124.29"/>
    <n v="11.093636363636378"/>
  </r>
  <r>
    <n v="271"/>
    <s v="Metrogyl 200MG Tab"/>
    <x v="1"/>
    <n v="2"/>
    <s v="RSM Pharma"/>
    <d v="2025-10-12T00:00:00"/>
    <n v="13.009090909090908"/>
    <n v="14.31"/>
    <n v="29.14"/>
    <n v="1.3009090909090926"/>
  </r>
  <r>
    <n v="272"/>
    <s v="Xymoheald D Tab"/>
    <x v="8"/>
    <n v="1"/>
    <s v="RSM Pharma"/>
    <d v="2025-10-12T00:00:00"/>
    <n v="236.5545454545454"/>
    <n v="260.20999999999998"/>
    <n v="265.02"/>
    <n v="23.655454545454575"/>
  </r>
  <r>
    <n v="273"/>
    <s v="Onabet Cream 15GM"/>
    <x v="1"/>
    <n v="1"/>
    <s v="RSM Pharma"/>
    <d v="2025-10-12T00:00:00"/>
    <n v="166.96363636363634"/>
    <n v="183.66"/>
    <n v="187.05"/>
    <n v="16.696363636363657"/>
  </r>
  <r>
    <n v="274"/>
    <s v="Glyciphage G1"/>
    <x v="9"/>
    <n v="2"/>
    <s v="RSM Pharma"/>
    <d v="2025-10-12T00:00:00"/>
    <n v="60.645454545454534"/>
    <n v="66.709999999999994"/>
    <n v="135.9"/>
    <n v="6.0645454545454598"/>
  </r>
  <r>
    <n v="275"/>
    <s v="Meladuce Face Serum"/>
    <x v="0"/>
    <n v="5"/>
    <s v="Medline Distributors"/>
    <d v="2025-10-12T00:00:00"/>
    <n v="369.18181818181819"/>
    <n v="406.1"/>
    <n v="2324"/>
    <n v="36.918181818181836"/>
  </r>
  <r>
    <n v="276"/>
    <s v="Atorva Gold 10MG Cap"/>
    <x v="5"/>
    <n v="3"/>
    <s v="Ram Agencies"/>
    <d v="2025-10-13T00:00:00"/>
    <n v="45.172727272727265"/>
    <n v="49.69"/>
    <n v="151.80000000000001"/>
    <n v="4.5172727272727329"/>
  </r>
  <r>
    <n v="277"/>
    <s v="Thrombphob Ointment"/>
    <x v="12"/>
    <n v="6"/>
    <s v="Ram Agencies"/>
    <d v="2025-10-13T00:00:00"/>
    <n v="156.21818181818182"/>
    <n v="171.84"/>
    <n v="1050.0999999999999"/>
    <n v="15.621818181818185"/>
  </r>
  <r>
    <n v="278"/>
    <s v="Becadexamin Caps"/>
    <x v="11"/>
    <n v="1"/>
    <s v="Ram Agencies"/>
    <d v="2025-10-13T00:00:00"/>
    <n v="84"/>
    <n v="92.4"/>
    <n v="94.1"/>
    <n v="8.4000000000000057"/>
  </r>
  <r>
    <n v="279"/>
    <s v="Cosglo New Cream"/>
    <x v="0"/>
    <n v="1"/>
    <s v="Ram Agencies"/>
    <d v="2025-10-13T00:00:00"/>
    <n v="426.49999999999994"/>
    <n v="469.15"/>
    <n v="537"/>
    <n v="42.650000000000034"/>
  </r>
  <r>
    <n v="280"/>
    <s v="8X Shampoo"/>
    <x v="2"/>
    <n v="1"/>
    <s v="Ram Agencies"/>
    <d v="2025-10-13T00:00:00"/>
    <n v="350.36363636363632"/>
    <n v="385.4"/>
    <n v="392"/>
    <n v="35.03636363636366"/>
  </r>
  <r>
    <n v="281"/>
    <s v="Tedibar Ceramax [75GM]"/>
    <x v="0"/>
    <n v="1"/>
    <s v="Ram Agencies"/>
    <d v="2025-10-13T00:00:00"/>
    <n v="147.29999999999998"/>
    <n v="162.03"/>
    <n v="185.4"/>
    <n v="14.730000000000018"/>
  </r>
  <r>
    <n v="282"/>
    <s v="Omnitah H"/>
    <x v="5"/>
    <n v="2"/>
    <s v="Ram Agencies"/>
    <d v="2025-10-13T00:00:00"/>
    <n v="147.29999999999998"/>
    <n v="162.03"/>
    <n v="185.4"/>
    <n v="14.730000000000018"/>
  </r>
  <r>
    <n v="283"/>
    <s v="Eltroxin 100MG Tabs"/>
    <x v="11"/>
    <n v="1"/>
    <s v="Ram Agencies"/>
    <d v="2025-10-13T00:00:00"/>
    <n v="164.93636363636364"/>
    <n v="181.43"/>
    <n v="369.5"/>
    <n v="16.493636363636369"/>
  </r>
  <r>
    <n v="284"/>
    <s v="Acitrom 3MG Tab"/>
    <x v="5"/>
    <n v="1"/>
    <s v="Ram Agencies"/>
    <d v="2025-10-13T00:00:00"/>
    <n v="116.94545454545452"/>
    <n v="128.63999999999999"/>
    <n v="131"/>
    <n v="11.694545454545462"/>
  </r>
  <r>
    <n v="285"/>
    <s v="Unwanted 72"/>
    <x v="11"/>
    <n v="1"/>
    <s v="Ram Agencies"/>
    <d v="2025-10-13T00:00:00"/>
    <n v="457.9"/>
    <n v="503.69"/>
    <n v="513"/>
    <n v="45.79000000000002"/>
  </r>
  <r>
    <n v="286"/>
    <s v="Gluformin G2 Tabs"/>
    <x v="9"/>
    <n v="2"/>
    <s v="Ram Agencies"/>
    <d v="2025-10-13T00:00:00"/>
    <n v="55.272727272727266"/>
    <n v="60.8"/>
    <n v="58.9"/>
    <n v="5.5272727272727309"/>
  </r>
  <r>
    <n v="287"/>
    <s v="Asthalin 4MG Tabs"/>
    <x v="6"/>
    <n v="3"/>
    <s v="Ram Agencies"/>
    <d v="2025-10-13T00:00:00"/>
    <n v="198.79090909090905"/>
    <n v="218.67"/>
    <n v="445.4"/>
    <n v="19.879090909090934"/>
  </r>
  <r>
    <n v="288"/>
    <s v="Unwanted 21 Days"/>
    <x v="11"/>
    <n v="1"/>
    <s v="Ram Agencies"/>
    <d v="2025-10-13T00:00:00"/>
    <n v="10.8"/>
    <n v="11.88"/>
    <n v="36.200000000000003"/>
    <n v="1.08"/>
  </r>
  <r>
    <n v="289"/>
    <s v="Telma 40MG Tab"/>
    <x v="5"/>
    <n v="5"/>
    <s v="Ram Agencies"/>
    <d v="2025-10-13T00:00:00"/>
    <n v="48.727272727272727"/>
    <n v="53.6"/>
    <n v="51.99"/>
    <n v="4.8727272727272748"/>
  </r>
  <r>
    <n v="290"/>
    <s v="Amlopin 5MG Tablets"/>
    <x v="5"/>
    <n v="10"/>
    <s v="Ram Agencies"/>
    <d v="2025-10-13T00:00:00"/>
    <n v="147.4909090909091"/>
    <n v="162.24"/>
    <n v="826.2"/>
    <n v="14.74909090909091"/>
  </r>
  <r>
    <n v="291"/>
    <s v="Ketorol DT Tablets"/>
    <x v="8"/>
    <n v="10"/>
    <s v="Ram Agencies"/>
    <d v="2025-10-13T00:00:00"/>
    <n v="18.472727272727273"/>
    <n v="20.32"/>
    <n v="206.96"/>
    <n v="1.8472727272727276"/>
  </r>
  <r>
    <n v="292"/>
    <s v="Telmikind AM Tab"/>
    <x v="5"/>
    <n v="12"/>
    <s v="Ram Agencies"/>
    <d v="2025-10-13T00:00:00"/>
    <n v="115.1"/>
    <n v="126.61"/>
    <n v="1289.52"/>
    <n v="11.510000000000005"/>
  </r>
  <r>
    <n v="293"/>
    <s v="Zincovit Syrup"/>
    <x v="11"/>
    <n v="1"/>
    <s v="Ram Agencies"/>
    <d v="2025-10-13T00:00:00"/>
    <n v="59.61818181818181"/>
    <n v="65.58"/>
    <n v="801.51"/>
    <n v="5.9618181818181881"/>
  </r>
  <r>
    <n v="294"/>
    <s v="Melalumin Under Eye Serum"/>
    <x v="0"/>
    <n v="1"/>
    <s v="Mahaveer Medi Sales"/>
    <d v="2025-10-13T00:00:00"/>
    <n v="585.5181818181818"/>
    <n v="644.07000000000005"/>
    <n v="737.21"/>
    <n v="58.551818181818248"/>
  </r>
  <r>
    <n v="295"/>
    <s v="LA Shield Max Sunscreen Lotion"/>
    <x v="10"/>
    <n v="1"/>
    <s v="Mahaveer Medi Sales"/>
    <d v="2025-10-13T00:00:00"/>
    <n v="563.94545454545448"/>
    <n v="620.34"/>
    <n v="710.05"/>
    <n v="56.39454545454555"/>
  </r>
  <r>
    <n v="296"/>
    <s v="Photon Sunscreen"/>
    <x v="10"/>
    <n v="1"/>
    <s v="Mahaveer Medi Sales"/>
    <d v="2025-10-13T00:00:00"/>
    <n v="468.67272727272723"/>
    <n v="515.54"/>
    <n v="590.09"/>
    <n v="46.867272727272734"/>
  </r>
  <r>
    <n v="297"/>
    <s v="Cuticlair Revive Face Serum"/>
    <x v="0"/>
    <n v="2"/>
    <s v="RSM Pharma"/>
    <d v="2025-10-14T00:00:00"/>
    <n v="632.99999999999989"/>
    <n v="696.3"/>
    <n v="1418.36"/>
    <n v="63.300000000000068"/>
  </r>
  <r>
    <n v="298"/>
    <s v="Nanofast Gel"/>
    <x v="8"/>
    <n v="2"/>
    <s v="RSM Pharma"/>
    <d v="2025-10-14T00:00:00"/>
    <n v="110.39090909090909"/>
    <n v="121.43"/>
    <n v="247.35"/>
    <n v="11.039090909090916"/>
  </r>
  <r>
    <n v="299"/>
    <s v="Renu MP 120ML Solution"/>
    <x v="2"/>
    <n v="1"/>
    <s v="RSM Pharma"/>
    <d v="2025-10-14T00:00:00"/>
    <n v="170.25454545454545"/>
    <n v="187.28"/>
    <n v="214.36"/>
    <n v="17.025454545454551"/>
  </r>
  <r>
    <n v="300"/>
    <s v="Imxia F 5% Solution"/>
    <x v="2"/>
    <n v="1"/>
    <s v="RSM Pharma"/>
    <d v="2025-10-14T00:00:00"/>
    <n v="551.94545454545448"/>
    <n v="607.14"/>
    <n v="618.37"/>
    <n v="55.194545454545505"/>
  </r>
  <r>
    <n v="301"/>
    <s v="Eltroxin 25MCG Tab"/>
    <x v="11"/>
    <n v="1"/>
    <s v="RSM Pharma"/>
    <d v="2025-10-14T00:00:00"/>
    <n v="127.86363636363636"/>
    <n v="140.65"/>
    <n v="143.25"/>
    <n v="12.786363636363646"/>
  </r>
  <r>
    <n v="302"/>
    <s v="Momate Cream 20GMS"/>
    <x v="1"/>
    <n v="1"/>
    <s v="RSM Pharma"/>
    <d v="2025-10-14T00:00:00"/>
    <n v="211.0363636363636"/>
    <n v="232.14"/>
    <n v="236.44"/>
    <n v="21.103636363636383"/>
  </r>
  <r>
    <n v="303"/>
    <s v="Optineuron INJ"/>
    <x v="11"/>
    <n v="3"/>
    <s v="Mahaveer Medi Sales"/>
    <d v="2025-10-14T00:00:00"/>
    <n v="90.272727272727266"/>
    <n v="99.3"/>
    <n v="303.39999999999998"/>
    <n v="9.0272727272727309"/>
  </r>
  <r>
    <n v="304"/>
    <s v="Translol XL-50 Tab"/>
    <x v="5"/>
    <n v="3"/>
    <s v="Mahaveer Medi Sales"/>
    <d v="2025-10-14T00:00:00"/>
    <n v="38.54545454545454"/>
    <n v="42.4"/>
    <n v="129.54"/>
    <n v="3.8545454545454589"/>
  </r>
  <r>
    <n v="305"/>
    <s v="Sino D3 Cap(60K)"/>
    <x v="11"/>
    <n v="1"/>
    <s v="Mahaveer Medi Sales"/>
    <d v="2025-10-14T00:00:00"/>
    <n v="77.918181818181807"/>
    <n v="85.71"/>
    <n v="87.3"/>
    <n v="7.7918181818181864"/>
  </r>
  <r>
    <n v="306"/>
    <s v="Momentsone Cream"/>
    <x v="1"/>
    <n v="4"/>
    <s v="Mahaveer Medi Sales"/>
    <d v="2025-10-14T00:00:00"/>
    <n v="238"/>
    <n v="261.8"/>
    <n v="1066.56"/>
    <n v="23.800000000000011"/>
  </r>
  <r>
    <n v="307"/>
    <s v="Ethiglo Serum"/>
    <x v="0"/>
    <n v="1"/>
    <s v="Mahaveer Medi Sales"/>
    <d v="2025-10-14T00:00:00"/>
    <n v="1085.1363636363637"/>
    <n v="1193.6500000000001"/>
    <n v="1366.26"/>
    <n v="108.51363636363635"/>
  </r>
  <r>
    <n v="308"/>
    <s v="Clocip B Cream"/>
    <x v="1"/>
    <n v="2"/>
    <s v="Mahaveer Medi Sales"/>
    <d v="2025-10-14T00:00:00"/>
    <n v="45.354545454545452"/>
    <n v="49.89"/>
    <n v="52.39"/>
    <n v="4.5354545454545487"/>
  </r>
  <r>
    <n v="309"/>
    <s v="Glucreta M 10+500MG Tab"/>
    <x v="9"/>
    <n v="2"/>
    <s v="Mahaveer Medi Sales"/>
    <d v="2025-10-14T00:00:00"/>
    <n v="111.98181818181818"/>
    <n v="123.18"/>
    <n v="250.91"/>
    <n v="11.198181818181823"/>
  </r>
  <r>
    <n v="310"/>
    <s v="Softovac 250GM"/>
    <x v="4"/>
    <n v="1"/>
    <s v="Mahaveer Medi Sales"/>
    <d v="2025-10-14T00:00:00"/>
    <n v="308.44545454545454"/>
    <n v="339.29"/>
    <n v="345.57"/>
    <n v="30.844545454545482"/>
  </r>
  <r>
    <n v="311"/>
    <s v="Hadensa Oint"/>
    <x v="12"/>
    <n v="1"/>
    <s v="Mahaveer Medi Sales"/>
    <d v="2025-10-14T00:00:00"/>
    <n v="97.399999999999991"/>
    <n v="107.14"/>
    <n v="109.13"/>
    <n v="9.7400000000000091"/>
  </r>
  <r>
    <n v="312"/>
    <s v="Thyronorm 75MCG"/>
    <x v="11"/>
    <n v="1"/>
    <s v="Mahaveer Medi Sales"/>
    <d v="2025-10-14T00:00:00"/>
    <n v="127.42727272727271"/>
    <n v="140.16999999999999"/>
    <n v="142.76"/>
    <n v="12.742727272727279"/>
  </r>
  <r>
    <n v="313"/>
    <s v="Alkof DX Cough SYP"/>
    <x v="3"/>
    <n v="3"/>
    <s v="Mahaveer Medi Sales"/>
    <d v="2025-10-14T00:00:00"/>
    <n v="25.818181818181817"/>
    <n v="28.4"/>
    <n v="89.46"/>
    <n v="2.581818181818182"/>
  </r>
  <r>
    <n v="314"/>
    <s v="EASI Breathe Caps"/>
    <x v="6"/>
    <n v="38"/>
    <s v="Mahaveer Medi Sales"/>
    <d v="2025-10-14T00:00:00"/>
    <n v="21.499999999999996"/>
    <n v="23.65"/>
    <n v="943.64"/>
    <n v="2.1500000000000021"/>
  </r>
  <r>
    <n v="315"/>
    <s v="Eltroxin 50 MCG Tab"/>
    <x v="11"/>
    <n v="1"/>
    <s v="Mahaveer Medi Sales"/>
    <d v="2025-10-15T00:00:00"/>
    <n v="78.972727272727269"/>
    <n v="86.87"/>
    <n v="88.43"/>
    <n v="7.8972727272727354"/>
  </r>
  <r>
    <n v="316"/>
    <s v="Disokem Lotion"/>
    <x v="0"/>
    <n v="2"/>
    <s v="JMJ Pharma"/>
    <d v="2025-10-15T00:00:00"/>
    <n v="202.24545454545452"/>
    <n v="222.47"/>
    <n v="4894.34"/>
    <n v="20.224545454545478"/>
  </r>
  <r>
    <n v="317"/>
    <s v="Fairvit Soap"/>
    <x v="0"/>
    <n v="5"/>
    <s v="JMJ Pharma"/>
    <d v="2025-10-15T00:00:00"/>
    <n v="78.272727272727266"/>
    <n v="86.1"/>
    <n v="4375.5"/>
    <n v="7.827272727272728"/>
  </r>
  <r>
    <n v="318"/>
    <s v="Minoking-50 DT"/>
    <x v="8"/>
    <n v="2"/>
    <s v="JMJ Pharma"/>
    <d v="2025-10-15T00:00:00"/>
    <n v="187.0090909090909"/>
    <n v="205.71"/>
    <n v="4525.62"/>
    <n v="18.700909090909107"/>
  </r>
  <r>
    <n v="319"/>
    <s v="Tacroz Forte Oint"/>
    <x v="13"/>
    <n v="1"/>
    <s v="Tulsi Corporation"/>
    <d v="2025-10-15T00:00:00"/>
    <n v="357.14545454545453"/>
    <n v="392.86"/>
    <n v="400.12"/>
    <n v="35.714545454545487"/>
  </r>
  <r>
    <n v="320"/>
    <s v="MOX 250 Caps"/>
    <x v="1"/>
    <n v="2"/>
    <s v="Tulsi Corporation"/>
    <d v="2025-10-15T00:00:00"/>
    <n v="27.054545454545455"/>
    <n v="29.76"/>
    <n v="60.62"/>
    <n v="2.7054545454545469"/>
  </r>
  <r>
    <n v="321"/>
    <s v="Zedex 100ml Syrup"/>
    <x v="3"/>
    <n v="1"/>
    <s v="Tulsi Corporation"/>
    <d v="2025-10-15T00:00:00"/>
    <n v="124.34545454545453"/>
    <n v="136.78"/>
    <n v="139.32"/>
    <n v="12.434545454545471"/>
  </r>
  <r>
    <n v="322"/>
    <s v="Thickify Ampm Tab"/>
    <x v="11"/>
    <n v="6"/>
    <s v="Tulsi Corporation"/>
    <d v="2025-10-15T00:00:00"/>
    <n v="252.70000000000002"/>
    <n v="277.97000000000003"/>
    <n v="1415.69"/>
    <n v="25.27000000000001"/>
  </r>
  <r>
    <n v="323"/>
    <s v="Nexpro RD 40MG Caps"/>
    <x v="4"/>
    <n v="1"/>
    <s v="Tulsi Corporation"/>
    <d v="2025-10-15T00:00:00"/>
    <n v="126.62727272727271"/>
    <n v="139.29"/>
    <n v="141.85"/>
    <n v="12.662727272727281"/>
  </r>
  <r>
    <n v="324"/>
    <s v="Glutaclair Tablet"/>
    <x v="0"/>
    <n v="10"/>
    <s v="Pride Pharma "/>
    <d v="2025-10-16T00:00:00"/>
    <n v="951.5454545454545"/>
    <n v="1046.7"/>
    <n v="12351"/>
    <n v="95.154545454545541"/>
  </r>
  <r>
    <n v="325"/>
    <s v="Amorolkite Cream"/>
    <x v="1"/>
    <n v="5"/>
    <s v="Pride Pharma "/>
    <d v="2025-10-16T00:00:00"/>
    <n v="373.99999999999994"/>
    <n v="411.4"/>
    <n v="2057"/>
    <n v="37.400000000000034"/>
  </r>
  <r>
    <n v="326"/>
    <s v="Cuticlair Anti Acne Face Serum"/>
    <x v="0"/>
    <n v="5"/>
    <s v="Pride Pharma "/>
    <d v="2025-10-16T00:00:00"/>
    <n v="588.69090909090903"/>
    <n v="647.55999999999995"/>
    <n v="3237.8"/>
    <n v="58.869090909090914"/>
  </r>
  <r>
    <n v="327"/>
    <s v="Ebruma Cream"/>
    <x v="1"/>
    <n v="5"/>
    <s v="Pride Pharma "/>
    <d v="2025-10-16T00:00:00"/>
    <n v="373.99999999999994"/>
    <n v="411.4"/>
    <n v="2047"/>
    <n v="37.400000000000034"/>
  </r>
  <r>
    <n v="328"/>
    <s v="Lulifight "/>
    <x v="1"/>
    <n v="10"/>
    <s v="Pride Pharma "/>
    <d v="2025-10-16T00:00:00"/>
    <n v="193.79999999999998"/>
    <n v="213.18"/>
    <n v="2131"/>
    <n v="19.380000000000024"/>
  </r>
  <r>
    <n v="329"/>
    <s v="Lulikite Cream"/>
    <x v="1"/>
    <n v="5"/>
    <s v="Pride Pharma "/>
    <d v="2025-10-16T00:00:00"/>
    <n v="306"/>
    <n v="336.6"/>
    <n v="1683"/>
    <n v="30.600000000000023"/>
  </r>
  <r>
    <n v="330"/>
    <s v="Momentsone Cream"/>
    <x v="1"/>
    <n v="5"/>
    <s v="Pride Pharma "/>
    <d v="2025-10-16T00:00:00"/>
    <n v="238"/>
    <n v="261.8"/>
    <n v="1309"/>
    <n v="23.800000000000011"/>
  </r>
  <r>
    <n v="331"/>
    <s v="Pepgain Advance Tablet"/>
    <x v="11"/>
    <n v="5"/>
    <s v="Pride Pharma "/>
    <d v="2025-10-16T00:00:00"/>
    <n v="538.59090909090912"/>
    <n v="592.45000000000005"/>
    <n v="2962.25"/>
    <n v="53.859090909090924"/>
  </r>
  <r>
    <n v="332"/>
    <s v="Sunshield Sunscreen SPF"/>
    <x v="10"/>
    <n v="5"/>
    <s v="Pride Pharma "/>
    <d v="2025-10-16T00:00:00"/>
    <n v="601.95454545454538"/>
    <n v="662.15"/>
    <n v="3310.75"/>
    <n v="60.195454545454595"/>
  </r>
  <r>
    <n v="333"/>
    <s v="Cuticlair Advance Foaming F/W"/>
    <x v="0"/>
    <n v="10"/>
    <s v="Pride Pharma "/>
    <d v="2025-10-16T00:00:00"/>
    <n v="395.5"/>
    <n v="435.05"/>
    <n v="4530.5"/>
    <n v="39.550000000000011"/>
  </r>
  <r>
    <n v="334"/>
    <s v="Momentsone Cream"/>
    <x v="1"/>
    <n v="10"/>
    <s v="Pride Pharma "/>
    <d v="2025-10-16T00:00:00"/>
    <n v="238"/>
    <n v="261.8"/>
    <n v="2618"/>
    <n v="23.800000000000011"/>
  </r>
  <r>
    <n v="335"/>
    <s v="Pepgain MF Forte Solution"/>
    <x v="2"/>
    <n v="5"/>
    <s v="Pride Pharma "/>
    <d v="2025-10-17T00:00:00"/>
    <n v="1326.3636363636363"/>
    <n v="1459"/>
    <n v="7295"/>
    <n v="132.63636363636374"/>
  </r>
  <r>
    <n v="336"/>
    <s v="Cuticlair Body Acne Spray"/>
    <x v="0"/>
    <n v="5"/>
    <s v="Pride Pharma "/>
    <d v="2025-10-17T00:00:00"/>
    <n v="379.5454545454545"/>
    <n v="417.5"/>
    <n v="2087.5"/>
    <n v="37.954545454545496"/>
  </r>
  <r>
    <n v="337"/>
    <s v="Ebruma Cream"/>
    <x v="1"/>
    <n v="5"/>
    <s v="Pride Pharma "/>
    <d v="2025-10-17T00:00:00"/>
    <n v="373.99999999999994"/>
    <n v="411.4"/>
    <n v="2057"/>
    <n v="37.400000000000034"/>
  </r>
  <r>
    <n v="338"/>
    <s v="Momentsone Cream"/>
    <x v="1"/>
    <n v="10"/>
    <s v="Pride Pharma "/>
    <d v="2025-10-17T00:00:00"/>
    <n v="238"/>
    <n v="261.8"/>
    <n v="2618"/>
    <n v="23.800000000000011"/>
  </r>
  <r>
    <n v="339"/>
    <s v="Momentsone F Cream"/>
    <x v="1"/>
    <n v="10"/>
    <s v="Pride Pharma "/>
    <d v="2025-10-17T00:00:00"/>
    <n v="306.30909090909086"/>
    <n v="336.94"/>
    <n v="3369.4"/>
    <n v="30.630909090909142"/>
  </r>
  <r>
    <n v="340"/>
    <s v="Pepgain Eva Tablet"/>
    <x v="11"/>
    <n v="5"/>
    <s v="Pride Pharma "/>
    <d v="2025-10-17T00:00:00"/>
    <n v="538.59090909090912"/>
    <n v="592.45000000000005"/>
    <n v="2962.25"/>
    <n v="53.859090909090924"/>
  </r>
  <r>
    <n v="341"/>
    <s v="Cuticlair Revive Face Serum"/>
    <x v="0"/>
    <n v="5"/>
    <s v="Pride Pharma "/>
    <d v="2025-10-17T00:00:00"/>
    <n v="632.99999999999989"/>
    <n v="696.3"/>
    <n v="3481.5"/>
    <n v="63.300000000000068"/>
  </r>
  <r>
    <n v="342"/>
    <s v="Cuticlair Advance Foaming F/W"/>
    <x v="0"/>
    <n v="10"/>
    <s v="Pride Pharma "/>
    <d v="2025-10-17T00:00:00"/>
    <n v="411.86363636363632"/>
    <n v="453.05"/>
    <n v="4530.5"/>
    <n v="41.186363636363694"/>
  </r>
  <r>
    <n v="343"/>
    <s v="Cuticlair Anti Acne Face Serum"/>
    <x v="0"/>
    <n v="5"/>
    <s v="Pride Pharma "/>
    <d v="2025-10-18T00:00:00"/>
    <n v="588.69090909090903"/>
    <n v="647.55999999999995"/>
    <n v="3237.8"/>
    <n v="58.869090909090914"/>
  </r>
  <r>
    <n v="344"/>
    <s v="Ketobright Shampoo"/>
    <x v="2"/>
    <n v="5"/>
    <s v="Pride Pharma "/>
    <d v="2025-10-18T00:00:00"/>
    <n v="265.4909090909091"/>
    <n v="292.04000000000002"/>
    <n v="1460.2"/>
    <n v="26.549090909090921"/>
  </r>
  <r>
    <n v="345"/>
    <s v="Neuroprime Plus Capsules"/>
    <x v="11"/>
    <n v="2"/>
    <s v="Mahaveer Medi Sales"/>
    <d v="2025-10-18T00:00:00"/>
    <n v="161.69090909090909"/>
    <n v="177.86"/>
    <n v="386.45"/>
    <n v="16.169090909090926"/>
  </r>
  <r>
    <n v="346"/>
    <s v="Allsuth Lotion"/>
    <x v="0"/>
    <n v="1"/>
    <s v="Mahaveer Medi Sales"/>
    <d v="2025-10-18T00:00:00"/>
    <n v="183.1090909090909"/>
    <n v="201.42"/>
    <n v="218.82"/>
    <n v="18.310909090909092"/>
  </r>
  <r>
    <n v="347"/>
    <s v="Cilnipres T Tab"/>
    <x v="5"/>
    <n v="3"/>
    <s v="Mahaveer Medi Sales"/>
    <d v="2025-10-18T00:00:00"/>
    <n v="74.290909090909082"/>
    <n v="81.72"/>
    <n v="266.35000000000002"/>
    <n v="7.4290909090909167"/>
  </r>
  <r>
    <n v="348"/>
    <s v="Empaone 25MG Tab"/>
    <x v="9"/>
    <n v="3"/>
    <s v="Mahaveer Medi Sales"/>
    <d v="2025-10-18T00:00:00"/>
    <n v="107.14545454545454"/>
    <n v="117.86"/>
    <n v="384.13"/>
    <n v="10.714545454545458"/>
  </r>
  <r>
    <n v="349"/>
    <s v="Tolaz DT 5MG Tab"/>
    <x v="8"/>
    <n v="4"/>
    <s v="Mahaveer Medi Sales"/>
    <d v="2025-10-18T00:00:00"/>
    <n v="61.945454545454538"/>
    <n v="68.14"/>
    <n v="296.16000000000003"/>
    <n v="6.1945454545454623"/>
  </r>
  <r>
    <n v="350"/>
    <s v="Rosmi 10MG Tab"/>
    <x v="5"/>
    <n v="2"/>
    <s v="Mahaveer Medi Sales"/>
    <d v="2025-10-18T00:00:00"/>
    <n v="90.263636363636365"/>
    <n v="99.29"/>
    <n v="215.74"/>
    <n v="9.0263636363636408"/>
  </r>
  <r>
    <n v="351"/>
    <s v="C-PRO Cream 30GM"/>
    <x v="0"/>
    <n v="2"/>
    <s v="Mahaveer Medi Sales"/>
    <d v="2025-10-18T00:00:00"/>
    <n v="146.1"/>
    <n v="160.71"/>
    <n v="349.2"/>
    <n v="14.610000000000014"/>
  </r>
  <r>
    <n v="352"/>
    <s v="Siotone Cap"/>
    <x v="11"/>
    <n v="3"/>
    <s v="RSM Pharma"/>
    <d v="2025-10-18T00:00:00"/>
    <n v="131.65454545454543"/>
    <n v="144.82"/>
    <n v="422.58"/>
    <n v="13.165454545454566"/>
  </r>
  <r>
    <n v="353"/>
    <s v="Siotone Cap"/>
    <x v="11"/>
    <n v="7"/>
    <s v="RSM Pharma"/>
    <d v="2025-10-18T00:00:00"/>
    <n v="131.65454545454543"/>
    <n v="144.82"/>
    <n v="986.04"/>
    <n v="13.165454545454566"/>
  </r>
  <r>
    <n v="354"/>
    <s v="4U-Q10 Plus Cap"/>
    <x v="11"/>
    <n v="2"/>
    <s v="RSM Pharma"/>
    <d v="2025-10-18T00:00:00"/>
    <n v="373.21818181818179"/>
    <n v="410.54"/>
    <n v="761"/>
    <n v="37.32181818181823"/>
  </r>
  <r>
    <n v="355"/>
    <s v="4U-Q10 Plus Cap"/>
    <x v="11"/>
    <n v="3"/>
    <s v="RSM Pharma"/>
    <d v="2025-10-18T00:00:00"/>
    <n v="373.21818181818179"/>
    <n v="410.54"/>
    <n v="1141.52"/>
    <n v="37.32181818181823"/>
  </r>
  <r>
    <n v="356"/>
    <s v="Suprafung Cream 50GM"/>
    <x v="1"/>
    <n v="1"/>
    <s v="RSM Pharma"/>
    <d v="2025-10-18T00:00:00"/>
    <n v="227.27272727272725"/>
    <n v="250"/>
    <n v="254.62"/>
    <n v="22.727272727272748"/>
  </r>
  <r>
    <n v="357"/>
    <s v="Glycomet GP 1 Tabs"/>
    <x v="9"/>
    <n v="6"/>
    <s v="RSM Pharma"/>
    <d v="2025-10-18T00:00:00"/>
    <n v="108.40909090909091"/>
    <n v="119.25"/>
    <n v="728.74"/>
    <n v="10.840909090909093"/>
  </r>
  <r>
    <n v="358"/>
    <s v="Dapanorm Trio Forte Tab"/>
    <x v="9"/>
    <n v="2"/>
    <s v="RSM Pharma"/>
    <d v="2025-10-18T00:00:00"/>
    <n v="160.71818181818179"/>
    <n v="176.79"/>
    <n v="360.11"/>
    <n v="16.071818181818202"/>
  </r>
  <r>
    <n v="359"/>
    <s v="Ciplox D Eye Drops"/>
    <x v="2"/>
    <n v="19"/>
    <s v="RSM Pharma"/>
    <d v="2025-10-19T00:00:00"/>
    <n v="18.963636363636361"/>
    <n v="20.86"/>
    <n v="403.67"/>
    <n v="1.8963636363636382"/>
  </r>
  <r>
    <n v="360"/>
    <s v="Lubrex Eye Drops"/>
    <x v="2"/>
    <n v="2"/>
    <s v="RSM Pharma"/>
    <d v="2025-10-19T00:00:00"/>
    <n v="89.454545454545453"/>
    <n v="98.4"/>
    <n v="200.44"/>
    <n v="8.9454545454545524"/>
  </r>
  <r>
    <n v="361"/>
    <s v="Allegra 180MG Tab"/>
    <x v="1"/>
    <n v="6"/>
    <s v="RSM Pharma"/>
    <d v="2025-10-19T00:00:00"/>
    <n v="196.5"/>
    <n v="216.15"/>
    <n v="1320.89"/>
    <n v="19.650000000000006"/>
  </r>
  <r>
    <n v="362"/>
    <s v="Jointace Tab"/>
    <x v="11"/>
    <n v="1"/>
    <s v="RSM Pharma"/>
    <d v="2025-10-19T00:00:00"/>
    <n v="87.663636363636357"/>
    <n v="96.43"/>
    <n v="98.22"/>
    <n v="8.7663636363636499"/>
  </r>
  <r>
    <n v="363"/>
    <s v="Hansaplast WaterProof "/>
    <x v="12"/>
    <n v="2"/>
    <s v="RSM Pharma"/>
    <d v="2025-10-19T00:00:00"/>
    <n v="163.63636363636363"/>
    <n v="180"/>
    <n v="278"/>
    <n v="16.363636363636374"/>
  </r>
  <r>
    <n v="364"/>
    <s v="Claribid 250MG Tab"/>
    <x v="1"/>
    <n v="1"/>
    <s v="RSM Pharma"/>
    <d v="2025-10-19T00:00:00"/>
    <n v="178.04545454545453"/>
    <n v="195.85"/>
    <n v="199.47"/>
    <n v="17.804545454545462"/>
  </r>
  <r>
    <n v="365"/>
    <s v="Dermadew Soap"/>
    <x v="0"/>
    <n v="6"/>
    <s v="RSM Pharma"/>
    <d v="2025-10-19T00:00:00"/>
    <n v="107.24545454545454"/>
    <n v="117.97"/>
    <n v="720.91"/>
    <n v="10.724545454545463"/>
  </r>
  <r>
    <n v="366"/>
    <s v="Ulgeraft Syrup "/>
    <x v="4"/>
    <n v="3"/>
    <s v="Ram Agencies"/>
    <d v="2025-10-19T00:00:00"/>
    <n v="145.32727272727271"/>
    <n v="159.86000000000001"/>
    <n v="488.45"/>
    <n v="14.5327272727273"/>
  </r>
  <r>
    <n v="367"/>
    <s v="Olesoft Lite Moisturize"/>
    <x v="0"/>
    <n v="3"/>
    <s v="Ram Agencies"/>
    <d v="2025-10-19T00:00:00"/>
    <n v="322.34545454545452"/>
    <n v="354.58"/>
    <n v="1217.55"/>
    <n v="32.234545454545469"/>
  </r>
  <r>
    <n v="368"/>
    <s v="Acnemoist Cream"/>
    <x v="0"/>
    <n v="1"/>
    <s v="Ram Agencies"/>
    <d v="2025-10-19T00:00:00"/>
    <n v="277.0454545454545"/>
    <n v="304.75"/>
    <n v="348.81"/>
    <n v="27.704545454545496"/>
  </r>
  <r>
    <n v="369"/>
    <s v="Suncros Neo Gel"/>
    <x v="10"/>
    <n v="2"/>
    <s v="Ram Agencies"/>
    <d v="2025-10-19T00:00:00"/>
    <n v="523.88181818181818"/>
    <n v="576.27"/>
    <n v="1319.2"/>
    <n v="52.388181818181806"/>
  </r>
  <r>
    <n v="370"/>
    <s v="Stalix D 10+ 100MG Tabs"/>
    <x v="8"/>
    <n v="3"/>
    <s v="Ram Agencies"/>
    <d v="2025-10-19T00:00:00"/>
    <n v="151.40909090909091"/>
    <n v="166.55"/>
    <n v="508.9"/>
    <n v="15.140909090909105"/>
  </r>
  <r>
    <n v="371"/>
    <s v="Dermadew Soap"/>
    <x v="0"/>
    <n v="2"/>
    <s v="Ram Agencies"/>
    <d v="2025-10-19T00:00:00"/>
    <n v="122.03636363636363"/>
    <n v="134.24"/>
    <n v="273.45"/>
    <n v="12.203636363636377"/>
  </r>
  <r>
    <n v="372"/>
    <s v="Aciloc 150 Tab"/>
    <x v="4"/>
    <n v="1"/>
    <s v="Ram Agencies"/>
    <d v="2025-10-19T00:00:00"/>
    <n v="34.93636363636363"/>
    <n v="38.43"/>
    <n v="39.14"/>
    <n v="3.4936363636363694"/>
  </r>
  <r>
    <n v="373"/>
    <s v="Bimat LS Eye Drops"/>
    <x v="2"/>
    <n v="1"/>
    <s v="Ram Agencies"/>
    <d v="2025-10-19T00:00:00"/>
    <n v="188.30909090909088"/>
    <n v="207.14"/>
    <n v="210.97"/>
    <n v="18.830909090909103"/>
  </r>
  <r>
    <n v="374"/>
    <s v="Megaheal Gel 50GM"/>
    <x v="12"/>
    <n v="1"/>
    <s v="Ram Agencies"/>
    <d v="2025-10-19T00:00:00"/>
    <n v="243.5090909090909"/>
    <n v="267.86"/>
    <n v="272.82"/>
    <n v="24.350909090909113"/>
  </r>
  <r>
    <n v="375"/>
    <s v="Orvas 10MG Tabs"/>
    <x v="5"/>
    <n v="2"/>
    <s v="Ram Agencies"/>
    <d v="2025-10-19T00:00:00"/>
    <n v="30.9"/>
    <n v="33.99"/>
    <n v="69.239999999999995"/>
    <n v="3.0900000000000034"/>
  </r>
  <r>
    <n v="376"/>
    <s v="Jointace Tab"/>
    <x v="11"/>
    <n v="1"/>
    <s v="Ram Agencies"/>
    <d v="2025-10-19T00:00:00"/>
    <n v="87.272727272727266"/>
    <n v="96"/>
    <n v="97.78"/>
    <n v="8.7272727272727337"/>
  </r>
  <r>
    <n v="377"/>
    <s v="Lubrex Eye Drops"/>
    <x v="2"/>
    <n v="2"/>
    <s v="Ram Agencies"/>
    <d v="2025-10-19T00:00:00"/>
    <n v="89.418181818181807"/>
    <n v="98.36"/>
    <n v="200.36"/>
    <n v="8.9418181818181921"/>
  </r>
  <r>
    <n v="378"/>
    <s v="Nucoxia 90 Tab"/>
    <x v="8"/>
    <n v="1"/>
    <s v="Ram Agencies"/>
    <d v="2025-10-19T00:00:00"/>
    <n v="219.93636363636364"/>
    <n v="241.93"/>
    <n v="246.41"/>
    <n v="21.993636363636369"/>
  </r>
  <r>
    <n v="379"/>
    <s v="Suncros Soft Gel"/>
    <x v="10"/>
    <n v="2"/>
    <s v="Ram Agencies"/>
    <d v="2025-10-20T00:00:00"/>
    <n v="511.55454545454546"/>
    <n v="562.71"/>
    <n v="1288.1600000000001"/>
    <n v="51.155454545454575"/>
  </r>
  <r>
    <n v="380"/>
    <s v="Tripide 2MG Tab"/>
    <x v="8"/>
    <n v="3"/>
    <s v="Ram Agencies"/>
    <d v="2025-10-20T00:00:00"/>
    <n v="229.81818181818181"/>
    <n v="252.8"/>
    <n v="772.43"/>
    <n v="22.981818181818198"/>
  </r>
  <r>
    <n v="381"/>
    <s v="Tenefit M Tab"/>
    <x v="9"/>
    <n v="1"/>
    <s v="Ram Agencies"/>
    <d v="2025-10-20T00:00:00"/>
    <n v="98.372727272727261"/>
    <n v="108.21"/>
    <n v="110.2"/>
    <n v="9.8372727272727332"/>
  </r>
  <r>
    <n v="382"/>
    <s v="Glycomet 500 SR Tabs"/>
    <x v="9"/>
    <n v="10"/>
    <s v="Ram Agencies"/>
    <d v="2025-10-20T00:00:00"/>
    <n v="29.072727272727271"/>
    <n v="31.98"/>
    <n v="329.08"/>
    <n v="2.9072727272727299"/>
  </r>
  <r>
    <n v="383"/>
    <s v="Clohex 150 ML"/>
    <x v="2"/>
    <n v="1"/>
    <s v="Ram Agencies"/>
    <d v="2025-10-20T00:00:00"/>
    <n v="128.23636363636362"/>
    <n v="141.06"/>
    <n v="143.66999999999999"/>
    <n v="12.823636363636382"/>
  </r>
  <r>
    <n v="384"/>
    <s v="Concor 5 Tabs"/>
    <x v="5"/>
    <n v="3"/>
    <s v="Ram Agencies"/>
    <d v="2025-10-20T00:00:00"/>
    <n v="91.554545454545448"/>
    <n v="100.71"/>
    <n v="307.73"/>
    <n v="9.1554545454545462"/>
  </r>
  <r>
    <n v="385"/>
    <s v="Melaglow New Cream"/>
    <x v="0"/>
    <n v="1"/>
    <s v="Ram Agencies"/>
    <d v="2025-10-20T00:00:00"/>
    <n v="272.41818181818184"/>
    <n v="299.66000000000003"/>
    <n v="342.99"/>
    <n v="27.241818181818189"/>
  </r>
  <r>
    <n v="386"/>
    <s v="Pynomax TX Face Serum"/>
    <x v="0"/>
    <n v="5"/>
    <s v="Avenues Pharma "/>
    <d v="2025-10-20T00:00:00"/>
    <n v="372.72727272727269"/>
    <n v="410"/>
    <n v="2346.44"/>
    <n v="37.272727272727309"/>
  </r>
  <r>
    <n v="387"/>
    <s v="Nezaflo Nasal Spray"/>
    <x v="3"/>
    <n v="1"/>
    <s v="Mahaveer Medi Sales"/>
    <d v="2025-10-21T00:00:00"/>
    <n v="292.20909090909089"/>
    <n v="321.43"/>
    <n v="327.37"/>
    <n v="29.220909090909117"/>
  </r>
  <r>
    <n v="388"/>
    <s v="Keto B Cream"/>
    <x v="1"/>
    <n v="1"/>
    <s v="Mahaveer Medi Sales"/>
    <d v="2025-10-21T00:00:00"/>
    <n v="103.24545454545454"/>
    <n v="113.57"/>
    <n v="115.66"/>
    <n v="10.324545454545458"/>
  </r>
  <r>
    <n v="389"/>
    <s v="Clearwax Ear Drops"/>
    <x v="2"/>
    <n v="3"/>
    <s v="Mahaveer Medi Sales"/>
    <d v="2025-10-21T00:00:00"/>
    <n v="27.09090909090909"/>
    <n v="29.8"/>
    <n v="93.88"/>
    <n v="2.7090909090909108"/>
  </r>
  <r>
    <n v="390"/>
    <s v="Trapic MF Tab"/>
    <x v="8"/>
    <n v="1"/>
    <s v="Mahaveer Medi Sales"/>
    <d v="2025-10-21T00:00:00"/>
    <n v="314.93636363636364"/>
    <n v="346.43"/>
    <n v="352.84"/>
    <n v="31.493636363636369"/>
  </r>
  <r>
    <n v="391"/>
    <s v="Reactin 50MG Tab"/>
    <x v="8"/>
    <n v="10"/>
    <s v="Mahaveer Medi Sales"/>
    <d v="2025-10-21T00:00:00"/>
    <n v="6.8909090909090907"/>
    <n v="7.58"/>
    <n v="79.599999999999994"/>
    <n v="0.68909090909090942"/>
  </r>
  <r>
    <n v="392"/>
    <s v="Remetor F"/>
    <x v="5"/>
    <n v="4"/>
    <s v="Mahaveer Medi Sales"/>
    <d v="2025-10-21T00:00:00"/>
    <n v="112.99090909090908"/>
    <n v="124.29"/>
    <n v="506.37"/>
    <n v="11.299090909090921"/>
  </r>
  <r>
    <n v="393"/>
    <s v="Remetor F"/>
    <x v="5"/>
    <n v="1"/>
    <s v="Mahaveer Medi Sales"/>
    <d v="2025-10-21T00:00:00"/>
    <n v="112.99090909090908"/>
    <n v="124.29"/>
    <n v="126.58"/>
    <n v="11.299090909090921"/>
  </r>
  <r>
    <n v="394"/>
    <s v="Dermadew Aloe Plus"/>
    <x v="0"/>
    <n v="1"/>
    <s v="Ram Agencies"/>
    <d v="2025-10-21T00:00:00"/>
    <n v="155.31818181818181"/>
    <n v="170.85"/>
    <n v="195.54"/>
    <n v="15.531818181818181"/>
  </r>
  <r>
    <n v="395"/>
    <s v="Medomol SP Tabs"/>
    <x v="8"/>
    <n v="10"/>
    <s v="Ram Agencies"/>
    <d v="2025-10-21T00:00:00"/>
    <n v="81.818181818181813"/>
    <n v="90"/>
    <n v="916.66"/>
    <n v="8.181818181818187"/>
  </r>
  <r>
    <n v="396"/>
    <s v="Becosules Plus Syrup"/>
    <x v="11"/>
    <n v="1"/>
    <s v="Ram Agencies"/>
    <d v="2025-10-21T00:00:00"/>
    <n v="71.418181818181822"/>
    <n v="78.56"/>
    <n v="80.02"/>
    <n v="7.1418181818181807"/>
  </r>
  <r>
    <n v="397"/>
    <s v="Eltroxin Tablets"/>
    <x v="11"/>
    <n v="1"/>
    <s v="Ram Agencies"/>
    <d v="2025-10-21T00:00:00"/>
    <n v="78.98181818181817"/>
    <n v="86.88"/>
    <n v="88.49"/>
    <n v="7.8981818181818255"/>
  </r>
  <r>
    <n v="398"/>
    <s v="Levipil 250MG Tab"/>
    <x v="8"/>
    <n v="3"/>
    <s v="Ram Agencies"/>
    <d v="2025-10-21T00:00:00"/>
    <n v="46.609090909090909"/>
    <n v="51.27"/>
    <n v="156.66"/>
    <n v="4.6609090909090938"/>
  </r>
  <r>
    <n v="399"/>
    <s v="Volini Maxx Spray "/>
    <x v="8"/>
    <n v="4"/>
    <s v="Ram Agencies"/>
    <d v="2025-10-21T00:00:00"/>
    <n v="155.14545454545453"/>
    <n v="170.66"/>
    <n v="695.26"/>
    <n v="15.51454545454547"/>
  </r>
  <r>
    <n v="400"/>
    <s v="Electral Powder(BIG)"/>
    <x v="11"/>
    <n v="28"/>
    <s v="Ram Agencies"/>
    <d v="2025-10-21T00:00:00"/>
    <n v="15.963636363636361"/>
    <n v="17.559999999999999"/>
    <n v="500.72"/>
    <n v="1.5963636363636375"/>
  </r>
  <r>
    <n v="401"/>
    <s v="Triobimet 2"/>
    <x v="9"/>
    <n v="6"/>
    <s v="Ram Agencies"/>
    <d v="2025-10-21T00:00:00"/>
    <n v="159.19090909090909"/>
    <n v="175.11"/>
    <n v="1070.0999999999999"/>
    <n v="15.919090909090926"/>
  </r>
  <r>
    <n v="402"/>
    <s v="Tazloc Trio 40 Tabs"/>
    <x v="5"/>
    <n v="4"/>
    <s v="Ram Agencies"/>
    <d v="2025-10-21T00:00:00"/>
    <n v="114.55454545454545"/>
    <n v="126.01"/>
    <n v="513.6"/>
    <n v="11.455454545454558"/>
  </r>
  <r>
    <n v="403"/>
    <s v="Emolene Cream"/>
    <x v="0"/>
    <n v="2"/>
    <s v="Ram Agencies"/>
    <d v="2025-10-21T00:00:00"/>
    <n v="246.75454545454545"/>
    <n v="271.43"/>
    <n v="552.89"/>
    <n v="24.675454545454556"/>
  </r>
  <r>
    <n v="404"/>
    <s v="Farehance Brightening Serum"/>
    <x v="0"/>
    <n v="2"/>
    <s v="Avenues Pharma "/>
    <d v="2025-10-21T00:00:00"/>
    <n v="874.96363636363628"/>
    <n v="962.46"/>
    <n v="1960.53"/>
    <n v="87.496363636363753"/>
  </r>
  <r>
    <n v="405"/>
    <s v="Behance Sunscreen"/>
    <x v="10"/>
    <n v="2"/>
    <s v="Avenues Pharma "/>
    <d v="2025-10-21T00:00:00"/>
    <n v="555.29999999999995"/>
    <n v="610.83000000000004"/>
    <n v="1244.27"/>
    <n v="55.530000000000086"/>
  </r>
  <r>
    <n v="406"/>
    <s v="Amrfy Cream"/>
    <x v="0"/>
    <n v="3"/>
    <s v="Avenues Pharma "/>
    <d v="2025-10-21T00:00:00"/>
    <n v="259.09090909090907"/>
    <n v="285"/>
    <n v="870.81"/>
    <n v="25.909090909090935"/>
  </r>
  <r>
    <n v="407"/>
    <s v="Eyecirque Advance"/>
    <x v="2"/>
    <n v="3"/>
    <s v="Avenues Pharma "/>
    <d v="2025-10-21T00:00:00"/>
    <n v="501.08181818181816"/>
    <n v="551.19000000000005"/>
    <n v="1684.16"/>
    <n v="50.10818181818189"/>
  </r>
  <r>
    <n v="408"/>
    <s v="Acnewin Face Wash"/>
    <x v="0"/>
    <n v="3"/>
    <s v="Mahaveer Medi Sales"/>
    <d v="2025-10-21T00:00:00"/>
    <n v="155.87272727272727"/>
    <n v="171.46"/>
    <n v="529.29"/>
    <n v="15.587272727272733"/>
  </r>
  <r>
    <n v="409"/>
    <s v="Omnigel 50GM"/>
    <x v="8"/>
    <n v="2"/>
    <s v="Mahaveer Medi Sales"/>
    <d v="2025-10-21T00:00:00"/>
    <n v="80.590909090909093"/>
    <n v="88.65"/>
    <n v="186.16"/>
    <n v="8.0590909090909122"/>
  </r>
  <r>
    <n v="410"/>
    <s v="Clop S Nano Lotion"/>
    <x v="1"/>
    <n v="1"/>
    <s v="Mahaveer Medi Sales"/>
    <d v="2025-10-21T00:00:00"/>
    <n v="150.35454545454542"/>
    <n v="165.39"/>
    <n v="168.45"/>
    <n v="15.03545454545457"/>
  </r>
  <r>
    <n v="411"/>
    <s v="Meprate 10MG Tab"/>
    <x v="11"/>
    <n v="3"/>
    <s v="Mahaveer Medi Sales"/>
    <d v="2025-10-21T00:00:00"/>
    <n v="48.454545454545446"/>
    <n v="53.3"/>
    <n v="162.86000000000001"/>
    <n v="4.845454545454551"/>
  </r>
  <r>
    <n v="412"/>
    <s v="Ebal 20"/>
    <x v="2"/>
    <n v="12"/>
    <s v="Mahaveer Medi Sales"/>
    <d v="2025-10-21T00:00:00"/>
    <n v="74.345454545454544"/>
    <n v="81.78"/>
    <n v="832.93"/>
    <n v="7.4345454545454572"/>
  </r>
  <r>
    <n v="413"/>
    <s v="Folica Hair Tincture"/>
    <x v="2"/>
    <n v="1"/>
    <s v="Mahaveer Medi Sales"/>
    <d v="2025-10-21T00:00:00"/>
    <n v="206.49090909090907"/>
    <n v="227.14"/>
    <n v="231.35"/>
    <n v="20.649090909090916"/>
  </r>
  <r>
    <n v="414"/>
    <s v="Maxirich Multivitamins Caps"/>
    <x v="11"/>
    <n v="6"/>
    <s v="Mahaveer Medi Sales"/>
    <d v="2025-10-22T00:00:00"/>
    <n v="79.490909090909085"/>
    <n v="87.44"/>
    <n v="178.11"/>
    <n v="7.9490909090909128"/>
  </r>
  <r>
    <n v="415"/>
    <s v="Cipcal D3 Caps"/>
    <x v="11"/>
    <n v="5"/>
    <s v="Mahaveer Medi Sales"/>
    <d v="2025-10-22T00:00:00"/>
    <n v="23.5"/>
    <n v="25.85"/>
    <n v="135.71"/>
    <n v="2.3500000000000014"/>
  </r>
  <r>
    <n v="416"/>
    <s v="Enerzal Orange Sach 100GM"/>
    <x v="11"/>
    <n v="10"/>
    <s v="Mahaveer Medi Sales"/>
    <d v="2025-10-22T00:00:00"/>
    <n v="44.054545454545455"/>
    <n v="48.46"/>
    <n v="444.22"/>
    <n v="4.4054545454545462"/>
  </r>
  <r>
    <n v="417"/>
    <s v="Aerocort Rotacaps 60'S"/>
    <x v="6"/>
    <n v="1"/>
    <s v="Mahaveer Medi Sales"/>
    <d v="2025-10-22T00:00:00"/>
    <n v="89.836363636363629"/>
    <n v="98.82"/>
    <n v="100.66"/>
    <n v="8.9836363636363643"/>
  </r>
  <r>
    <n v="418"/>
    <s v="Sitaxa M 50+500 Tab"/>
    <x v="9"/>
    <n v="2"/>
    <s v="Mahaveer Medi Sales"/>
    <d v="2025-10-22T00:00:00"/>
    <n v="155.56363636363636"/>
    <n v="171.12"/>
    <n v="348.57"/>
    <n v="15.556363636363642"/>
  </r>
  <r>
    <n v="419"/>
    <s v="Calosoft AF Lotion"/>
    <x v="0"/>
    <n v="5"/>
    <s v="Mahaveer Medi Sales"/>
    <d v="2025-10-22T00:00:00"/>
    <n v="80.745454545454535"/>
    <n v="88.82"/>
    <n v="462.57"/>
    <n v="8.0745454545454578"/>
  </r>
  <r>
    <n v="420"/>
    <s v="Aldigesic MR Tab"/>
    <x v="8"/>
    <n v="5"/>
    <s v="Mahaveer Medi Sales"/>
    <d v="2025-10-22T00:00:00"/>
    <n v="25.636363636363633"/>
    <n v="28.2"/>
    <n v="148.06"/>
    <n v="2.5636363636363662"/>
  </r>
  <r>
    <n v="421"/>
    <s v="NMF E Lip Care"/>
    <x v="0"/>
    <n v="2"/>
    <s v="Mahaveer Medi Sales"/>
    <d v="2025-10-22T00:00:00"/>
    <n v="122.64545454545453"/>
    <n v="134.91"/>
    <n v="308.85000000000002"/>
    <n v="12.26454545454547"/>
  </r>
  <r>
    <n v="422"/>
    <s v="Udcament Susp "/>
    <x v="4"/>
    <n v="1"/>
    <s v="Mahaveer Medi Sales"/>
    <d v="2025-10-22T00:00:00"/>
    <n v="270.12727272727267"/>
    <n v="297.14"/>
    <n v="302.64999999999998"/>
    <n v="27.012727272727318"/>
  </r>
  <r>
    <n v="423"/>
    <s v="Udcament Susp "/>
    <x v="4"/>
    <n v="1"/>
    <s v="Mahaveer Medi Sales"/>
    <d v="2025-10-22T00:00:00"/>
    <n v="270.12727272727267"/>
    <n v="297.14"/>
    <n v="302.64999999999998"/>
    <n v="27.012727272727318"/>
  </r>
  <r>
    <n v="424"/>
    <s v="Pankajakasthuri B/E SYP"/>
    <x v="3"/>
    <n v="1"/>
    <s v="Mahaveer Medi Sales"/>
    <d v="2025-10-22T00:00:00"/>
    <n v="148.48181818181817"/>
    <n v="163.33000000000001"/>
    <n v="171.49"/>
    <n v="14.848181818181843"/>
  </r>
  <r>
    <n v="425"/>
    <s v="Cetaphil Moisturising"/>
    <x v="0"/>
    <n v="2"/>
    <s v="Ram Agencies"/>
    <d v="2025-10-22T00:00:00"/>
    <n v="412.32727272727271"/>
    <n v="453.56"/>
    <n v="1038.29"/>
    <n v="41.232727272727288"/>
  </r>
  <r>
    <n v="426"/>
    <s v="Lulifin Lotion "/>
    <x v="1"/>
    <n v="1"/>
    <s v="Ram Agencies"/>
    <d v="2025-10-22T00:00:00"/>
    <n v="161.69090909090909"/>
    <n v="177.86"/>
    <n v="181.12"/>
    <n v="16.169090909090926"/>
  </r>
  <r>
    <n v="427"/>
    <s v="Aquahance Advanced "/>
    <x v="0"/>
    <n v="1"/>
    <s v="Ram Agencies"/>
    <d v="2025-10-22T00:00:00"/>
    <n v="600.92727272727268"/>
    <n v="661.02"/>
    <n v="756.61"/>
    <n v="60.092727272727302"/>
  </r>
  <r>
    <n v="428"/>
    <s v="Acne UV Gel"/>
    <x v="10"/>
    <n v="1"/>
    <s v="RSM Pharma"/>
    <d v="2025-10-22T00:00:00"/>
    <n v="600.92727272727268"/>
    <n v="661.02"/>
    <n v="756.61"/>
    <n v="60.092727272727302"/>
  </r>
  <r>
    <n v="429"/>
    <s v="Fixon Cream"/>
    <x v="12"/>
    <n v="1"/>
    <s v="Ram Agencies"/>
    <d v="2025-10-22T00:00:00"/>
    <n v="105.97272727272725"/>
    <n v="116.57"/>
    <n v="118.73"/>
    <n v="10.597272727272738"/>
  </r>
  <r>
    <n v="430"/>
    <s v="Scar KT"/>
    <x v="0"/>
    <n v="2"/>
    <s v="Ram Agencies"/>
    <d v="2025-10-22T00:00:00"/>
    <n v="447.46363636363628"/>
    <n v="492.21"/>
    <n v="1126.77"/>
    <n v="44.746363636363697"/>
  </r>
  <r>
    <n v="431"/>
    <s v="Losakind 50 Tab"/>
    <x v="5"/>
    <n v="3"/>
    <s v="Ram Agencies"/>
    <d v="2025-10-23T00:00:00"/>
    <n v="40.709090909090904"/>
    <n v="44.78"/>
    <n v="136.83000000000001"/>
    <n v="4.0709090909090975"/>
  </r>
  <r>
    <n v="432"/>
    <s v="Finax 1MG Tab"/>
    <x v="2"/>
    <n v="1"/>
    <s v="Ram Agencies"/>
    <d v="2025-10-23T00:00:00"/>
    <n v="246.42727272727271"/>
    <n v="271.07"/>
    <n v="276.08"/>
    <n v="24.642727272727285"/>
  </r>
  <r>
    <n v="433"/>
    <s v="Teczine 10MG Tab"/>
    <x v="1"/>
    <n v="5"/>
    <s v="Ram Agencies"/>
    <d v="2025-10-23T00:00:00"/>
    <n v="156.49090909090907"/>
    <n v="172.14"/>
    <n v="876.62"/>
    <n v="15.649090909090916"/>
  </r>
  <r>
    <n v="434"/>
    <s v="Demelan Cream"/>
    <x v="0"/>
    <n v="1"/>
    <s v="Ram Agencies"/>
    <d v="2025-10-23T00:00:00"/>
    <n v="388.92727272727268"/>
    <n v="427.82"/>
    <n v="435.73"/>
    <n v="38.892727272727313"/>
  </r>
  <r>
    <n v="435"/>
    <s v="Vomikind MD 4"/>
    <x v="4"/>
    <n v="10"/>
    <s v="Ram Agencies"/>
    <d v="2025-10-23T00:00:00"/>
    <n v="33.327272727272721"/>
    <n v="36.659999999999997"/>
    <n v="373.38"/>
    <n v="3.3327272727272756"/>
  </r>
  <r>
    <n v="436"/>
    <s v="Olmecip H Tab"/>
    <x v="5"/>
    <n v="2"/>
    <s v="Ram Agencies"/>
    <d v="2025-10-23T00:00:00"/>
    <n v="111.89090909090908"/>
    <n v="123.08"/>
    <n v="250.72"/>
    <n v="11.189090909090922"/>
  </r>
  <r>
    <n v="437"/>
    <s v="Stemetil MD Tab"/>
    <x v="8"/>
    <n v="5"/>
    <s v="Ram Agencies"/>
    <d v="2025-10-23T00:00:00"/>
    <n v="123.36363636363635"/>
    <n v="135.69999999999999"/>
    <n v="691.05"/>
    <n v="12.336363636363643"/>
  </r>
  <r>
    <n v="438"/>
    <s v="Clohex ADS M/Wash"/>
    <x v="2"/>
    <n v="3"/>
    <s v="Ram Agencies"/>
    <d v="2025-10-23T00:00:00"/>
    <n v="187.49999999999997"/>
    <n v="206.25"/>
    <n v="630.19000000000005"/>
    <n v="18.750000000000028"/>
  </r>
  <r>
    <n v="439"/>
    <s v="Fixon Powder"/>
    <x v="12"/>
    <n v="2"/>
    <s v="Ram Agencies"/>
    <d v="2025-10-23T00:00:00"/>
    <n v="36.709090909090911"/>
    <n v="40.380000000000003"/>
    <n v="82.26"/>
    <n v="3.6709090909090918"/>
  </r>
  <r>
    <n v="440"/>
    <s v="Orsl Apple"/>
    <x v="11"/>
    <n v="25"/>
    <s v="Ram Agencies"/>
    <d v="2025-10-23T00:00:00"/>
    <n v="27.218181818181819"/>
    <n v="29.94"/>
    <n v="785.92"/>
    <n v="2.7218181818181826"/>
  </r>
  <r>
    <n v="441"/>
    <s v="Eberfine XL Cream"/>
    <x v="1"/>
    <n v="3"/>
    <s v="Avenues Pharma "/>
    <d v="2025-10-23T00:00:00"/>
    <n v="334.41818181818178"/>
    <n v="367.86"/>
    <n v="1123.99"/>
    <n v="33.441818181818235"/>
  </r>
  <r>
    <n v="442"/>
    <s v="Lomotil 20 Tab"/>
    <x v="4"/>
    <n v="3"/>
    <s v="Avenues Pharma "/>
    <d v="2025-10-23T00:00:00"/>
    <n v="19.963636363636361"/>
    <n v="21.96"/>
    <n v="67.099999999999994"/>
    <n v="1.9963636363636397"/>
  </r>
  <r>
    <n v="443"/>
    <s v="Elfri Lotion"/>
    <x v="0"/>
    <n v="1"/>
    <s v="Avenues Pharma "/>
    <d v="2025-10-23T00:00:00"/>
    <n v="575.65454545454543"/>
    <n v="633.22"/>
    <n v="724.78"/>
    <n v="57.5654545454546"/>
  </r>
  <r>
    <n v="444"/>
    <s v="Hhfexo 180 Tabs"/>
    <x v="1"/>
    <n v="6"/>
    <s v="Avenues Pharma "/>
    <d v="2025-10-23T00:00:00"/>
    <n v="120.12727272727271"/>
    <n v="132.13999999999999"/>
    <n v="807.51"/>
    <n v="12.012727272727275"/>
  </r>
  <r>
    <n v="445"/>
    <s v="Benzonix -XL Gel Wash"/>
    <x v="0"/>
    <n v="1"/>
    <s v="Avenues Pharma "/>
    <d v="2025-10-23T00:00:00"/>
    <n v="198.09090909090909"/>
    <n v="217.9"/>
    <n v="221.92"/>
    <n v="19.809090909090912"/>
  </r>
  <r>
    <n v="446"/>
    <s v="Seb Baby Lotion With Pump"/>
    <x v="7"/>
    <n v="1"/>
    <s v="Avenues Pharma "/>
    <d v="2025-10-23T00:00:00"/>
    <n v="1040.0636363636363"/>
    <n v="1144.07"/>
    <n v="1350.01"/>
    <n v="104.00636363636363"/>
  </r>
  <r>
    <n v="447"/>
    <s v="Inderal LA 40MG Tab"/>
    <x v="5"/>
    <n v="2"/>
    <s v="Tulsi Corporation"/>
    <d v="2025-10-24T00:00:00"/>
    <n v="35.709090909090911"/>
    <n v="39.28"/>
    <n v="79.98"/>
    <n v="3.5709090909090904"/>
  </r>
  <r>
    <n v="448"/>
    <s v="Onabest SD 30ML Lotion"/>
    <x v="1"/>
    <n v="1"/>
    <s v="Tulsi Corporation"/>
    <d v="2025-10-24T00:00:00"/>
    <n v="245.45454545454544"/>
    <n v="270"/>
    <n v="275"/>
    <n v="24.545454545454561"/>
  </r>
  <r>
    <n v="449"/>
    <s v="Nohives Tab"/>
    <x v="1"/>
    <n v="3"/>
    <s v="Tulsi Corporation"/>
    <d v="2025-10-24T00:00:00"/>
    <n v="75.972727272727255"/>
    <n v="83.57"/>
    <n v="212.79"/>
    <n v="7.5972727272727383"/>
  </r>
  <r>
    <n v="450"/>
    <s v="Aquahance Mois Soap"/>
    <x v="0"/>
    <n v="2"/>
    <s v="Tulsi Corporation"/>
    <d v="2025-10-24T00:00:00"/>
    <n v="169.49090909090907"/>
    <n v="186.44"/>
    <n v="379.76"/>
    <n v="16.949090909090927"/>
  </r>
  <r>
    <n v="451"/>
    <s v="Atogla Skin Lotion"/>
    <x v="0"/>
    <n v="1"/>
    <s v="Tulsi Corporation"/>
    <d v="2025-10-24T00:00:00"/>
    <n v="391.37272727272722"/>
    <n v="430.51"/>
    <n v="492.79"/>
    <n v="39.137272727272773"/>
  </r>
  <r>
    <n v="452"/>
    <s v="Ultitar CS Lotion "/>
    <x v="0"/>
    <n v="3"/>
    <s v="Tulsi Corporation"/>
    <d v="2025-10-24T00:00:00"/>
    <n v="388.96363636363634"/>
    <n v="427.86"/>
    <n v="871.52"/>
    <n v="38.896363636363674"/>
  </r>
  <r>
    <n v="453"/>
    <s v="Nicotex 2 Mint S/F"/>
    <x v="12"/>
    <n v="1"/>
    <s v="Tulsi Corporation"/>
    <d v="2025-10-24T00:00:00"/>
    <n v="75.86363636363636"/>
    <n v="83.45"/>
    <n v="95.54"/>
    <n v="7.5863636363636431"/>
  </r>
  <r>
    <n v="454"/>
    <s v="Nicotex 2 Mint S/F"/>
    <x v="12"/>
    <n v="1"/>
    <s v="Tulsi Corporation"/>
    <d v="2025-10-24T00:00:00"/>
    <n v="75.86363636363636"/>
    <n v="83.45"/>
    <n v="95.54"/>
    <n v="7.5863636363636431"/>
  </r>
  <r>
    <n v="455"/>
    <s v="Lopamide 10 Tabs"/>
    <x v="4"/>
    <n v="2"/>
    <s v="Tulsi Corporation"/>
    <d v="2025-10-24T00:00:00"/>
    <n v="16.827272727272728"/>
    <n v="18.510000000000002"/>
    <n v="37.72"/>
    <n v="1.6827272727272735"/>
  </r>
  <r>
    <n v="456"/>
    <s v="Glowzex Foaming Facewash"/>
    <x v="0"/>
    <n v="12"/>
    <s v="Santhosh Enterprises"/>
    <d v="2025-10-24T00:00:00"/>
    <n v="319.91818181818184"/>
    <n v="351.91"/>
    <n v="3519.1"/>
    <n v="31.991818181818189"/>
  </r>
  <r>
    <n v="457"/>
    <s v="Lulizex Spray "/>
    <x v="1"/>
    <n v="12"/>
    <s v="Santhosh Enterprises"/>
    <d v="2025-10-24T00:00:00"/>
    <n v="279.21818181818179"/>
    <n v="307.14"/>
    <n v="3071.4"/>
    <n v="27.921818181818196"/>
  </r>
  <r>
    <n v="458"/>
    <s v="Ketozex Cream"/>
    <x v="1"/>
    <n v="24"/>
    <s v="Santhosh Enterprises"/>
    <d v="2025-10-24T00:00:00"/>
    <n v="100.64545454545453"/>
    <n v="110.71"/>
    <n v="2214.1999999999998"/>
    <n v="10.064545454545467"/>
  </r>
  <r>
    <n v="459"/>
    <s v="Eberzex Cream"/>
    <x v="1"/>
    <n v="12"/>
    <s v="Santhosh Enterprises"/>
    <d v="2025-10-24T00:00:00"/>
    <n v="126.62727272727271"/>
    <n v="139.29"/>
    <n v="1392.9"/>
    <n v="12.662727272727281"/>
  </r>
  <r>
    <n v="460"/>
    <s v="Gentle Baby Soap "/>
    <x v="7"/>
    <n v="5"/>
    <s v="Ram Agencies"/>
    <d v="2025-10-25T00:00:00"/>
    <n v="43.645454545454541"/>
    <n v="48.01"/>
    <n v="247.01"/>
    <n v="4.3645454545454569"/>
  </r>
  <r>
    <n v="461"/>
    <s v="Warren Orthodontic"/>
    <x v="2"/>
    <n v="8"/>
    <s v="Ram Agencies"/>
    <d v="2025-10-25T00:00:00"/>
    <n v="107.36363636363635"/>
    <n v="118.1"/>
    <n v="962.28"/>
    <n v="10.736363636363649"/>
  </r>
  <r>
    <n v="462"/>
    <s v="Becadexamin Caps"/>
    <x v="11"/>
    <n v="1"/>
    <s v="Ram Agencies"/>
    <d v="2025-10-25T00:00:00"/>
    <n v="84"/>
    <n v="92.4"/>
    <n v="94.11"/>
    <n v="8.4000000000000057"/>
  </r>
  <r>
    <n v="463"/>
    <s v="Mederma Advanced Plus"/>
    <x v="0"/>
    <n v="2"/>
    <s v="Ram Agencies"/>
    <d v="2025-10-25T00:00:00"/>
    <n v="212.19090909090906"/>
    <n v="233.41"/>
    <n v="550.84"/>
    <n v="21.219090909090937"/>
  </r>
  <r>
    <n v="464"/>
    <s v="Medomol SP Tabs"/>
    <x v="8"/>
    <n v="10"/>
    <s v="Ram Agencies"/>
    <d v="2025-10-25T00:00:00"/>
    <n v="81.818181818181813"/>
    <n v="90"/>
    <n v="916.66"/>
    <n v="8.181818181818187"/>
  </r>
  <r>
    <n v="465"/>
    <s v="BX Shampoo"/>
    <x v="2"/>
    <n v="1"/>
    <s v="Ram Agencies"/>
    <d v="2025-10-25T00:00:00"/>
    <n v="350.36363636363632"/>
    <n v="385.4"/>
    <n v="392.54"/>
    <n v="35.03636363636366"/>
  </r>
  <r>
    <n v="466"/>
    <s v="Ziglim MV 2 Tabs"/>
    <x v="9"/>
    <n v="4"/>
    <s v="Ram Agencies"/>
    <d v="2025-10-25T00:00:00"/>
    <n v="91.881818181818161"/>
    <n v="101.07"/>
    <n v="411.75"/>
    <n v="9.1881818181818318"/>
  </r>
  <r>
    <n v="467"/>
    <s v="Neptaz 50MG Tab"/>
    <x v="8"/>
    <n v="2"/>
    <s v="Ram Agencies"/>
    <d v="2025-10-25T00:00:00"/>
    <n v="228.99090909090907"/>
    <n v="251.89"/>
    <n v="513.11"/>
    <n v="22.899090909090916"/>
  </r>
  <r>
    <n v="468"/>
    <s v="Lubrex Eye Drops"/>
    <x v="2"/>
    <n v="2"/>
    <s v="Ram Agencies"/>
    <d v="2025-10-25T00:00:00"/>
    <n v="90.945454545454538"/>
    <n v="100.04"/>
    <n v="203.78"/>
    <n v="9.094545454545468"/>
  </r>
  <r>
    <n v="469"/>
    <s v="Trfy Cream"/>
    <x v="1"/>
    <n v="1"/>
    <s v="Ram Agencies"/>
    <d v="2025-10-25T00:00:00"/>
    <n v="58.263636363636365"/>
    <n v="64.09"/>
    <n v="65.27"/>
    <n v="5.826363636363638"/>
  </r>
  <r>
    <n v="470"/>
    <s v="Tribet 2 Tabs"/>
    <x v="9"/>
    <n v="4"/>
    <s v="Ram Agencies"/>
    <d v="2025-10-25T00:00:00"/>
    <n v="260.42727272727274"/>
    <n v="286.47000000000003"/>
    <n v="1167.08"/>
    <n v="26.042727272727291"/>
  </r>
  <r>
    <n v="471"/>
    <s v="Xerina Cream"/>
    <x v="0"/>
    <n v="1"/>
    <s v="Ram Agencies"/>
    <d v="2025-10-25T00:00:00"/>
    <n v="300.15454545454543"/>
    <n v="330.17"/>
    <n v="377.9"/>
    <n v="30.015454545454588"/>
  </r>
  <r>
    <n v="472"/>
    <s v="Zole Skin Oint"/>
    <x v="1"/>
    <n v="1"/>
    <s v="Ram Agencies"/>
    <d v="2025-10-25T00:00:00"/>
    <n v="48.699999999999996"/>
    <n v="53.57"/>
    <n v="54.56"/>
    <n v="4.8700000000000045"/>
  </r>
  <r>
    <n v="473"/>
    <s v="Stamlo T Tabs"/>
    <x v="5"/>
    <n v="3"/>
    <s v="Ram Agencies"/>
    <d v="2025-10-25T00:00:00"/>
    <n v="148.20909090909089"/>
    <n v="163.03"/>
    <n v="498.14"/>
    <n v="14.820909090909112"/>
  </r>
  <r>
    <n v="474"/>
    <s v="Mahacef 200"/>
    <x v="1"/>
    <n v="1"/>
    <s v="Ram Agencies"/>
    <d v="2025-10-25T00:00:00"/>
    <n v="68.654545454545442"/>
    <n v="75.52"/>
    <n v="76.91"/>
    <n v="6.8654545454545541"/>
  </r>
  <r>
    <n v="475"/>
    <s v="Aten 50MG Tab"/>
    <x v="5"/>
    <n v="6"/>
    <s v="Ram Agencies"/>
    <d v="2025-10-25T00:00:00"/>
    <n v="24.381818181818179"/>
    <n v="26.82"/>
    <n v="163.89"/>
    <n v="2.4381818181818211"/>
  </r>
  <r>
    <n v="476"/>
    <s v="Duphalac Syrup"/>
    <x v="4"/>
    <n v="1"/>
    <s v="Ram Agencies"/>
    <d v="2025-10-25T00:00:00"/>
    <n v="227.27272727272725"/>
    <n v="250"/>
    <n v="254.62"/>
    <n v="22.727272727272748"/>
  </r>
  <r>
    <n v="477"/>
    <s v="Kofarest SYP"/>
    <x v="3"/>
    <n v="1"/>
    <s v="Ram Agencies"/>
    <d v="2025-10-25T00:00:00"/>
    <n v="107.07272727272726"/>
    <n v="117.78"/>
    <n v="119.97"/>
    <n v="10.707272727272738"/>
  </r>
  <r>
    <n v="478"/>
    <s v="Thyronorm 100"/>
    <x v="11"/>
    <n v="2"/>
    <s v="Ram Agencies"/>
    <d v="2025-10-25T00:00:00"/>
    <n v="116.92727272727272"/>
    <n v="128.62"/>
    <n v="262"/>
    <n v="11.692727272727282"/>
  </r>
  <r>
    <n v="479"/>
    <s v="P-250 Suspension"/>
    <x v="8"/>
    <n v="5"/>
    <s v="Ram Agencies"/>
    <d v="2025-10-25T00:00:00"/>
    <n v="29.672727272727272"/>
    <n v="32.64"/>
    <n v="166.22"/>
    <n v="2.9672727272727286"/>
  </r>
  <r>
    <n v="480"/>
    <s v="Telmikind AM Tab"/>
    <x v="5"/>
    <n v="12"/>
    <s v="Ram Agencies"/>
    <d v="2025-10-25T00:00:00"/>
    <n v="54.209090909090904"/>
    <n v="59.63"/>
    <n v="728.79"/>
    <n v="5.4209090909090989"/>
  </r>
  <r>
    <n v="481"/>
    <s v="Propysalic NF6 Ointment"/>
    <x v="1"/>
    <n v="6"/>
    <s v="Ram Agencies"/>
    <d v="2025-10-25T00:00:00"/>
    <n v="135.71818181818179"/>
    <n v="149.29"/>
    <n v="912.31"/>
    <n v="13.571818181818202"/>
  </r>
  <r>
    <n v="482"/>
    <s v="Candiforce 200 Caps"/>
    <x v="1"/>
    <n v="4"/>
    <s v="Ram Agencies"/>
    <d v="2025-10-25T00:00:00"/>
    <n v="163.63636363636363"/>
    <n v="180"/>
    <n v="733.32"/>
    <n v="16.363636363636374"/>
  </r>
  <r>
    <n v="483"/>
    <s v="Huminsulin 30/70"/>
    <x v="9"/>
    <n v="2"/>
    <s v="Ram Agencies"/>
    <d v="2025-10-25T00:00:00"/>
    <n v="128.72727272727272"/>
    <n v="141.6"/>
    <n v="291.42"/>
    <n v="12.872727272727275"/>
  </r>
  <r>
    <n v="484"/>
    <s v="Anaboom Pro Serum"/>
    <x v="2"/>
    <n v="1"/>
    <s v="RSM Pharma"/>
    <d v="2025-10-26T00:00:00"/>
    <n v="856.70909090909083"/>
    <n v="942.38"/>
    <n v="1078.6500000000001"/>
    <n v="85.670909090909163"/>
  </r>
  <r>
    <n v="485"/>
    <s v="Cuticlair Anti Acne Soap"/>
    <x v="0"/>
    <n v="1"/>
    <s v="RSM Pharma"/>
    <d v="2025-10-26T00:00:00"/>
    <n v="186.91818181818181"/>
    <n v="205.61"/>
    <n v="209.42"/>
    <n v="18.691818181818206"/>
  </r>
  <r>
    <n v="486"/>
    <s v="Practin 4MG Tab"/>
    <x v="1"/>
    <n v="10"/>
    <s v="RSM Pharma"/>
    <d v="2025-10-26T00:00:00"/>
    <n v="30.518181818181816"/>
    <n v="33.57"/>
    <n v="341.91"/>
    <n v="3.0518181818181844"/>
  </r>
  <r>
    <n v="487"/>
    <s v="Cosglo New Cream"/>
    <x v="0"/>
    <n v="1"/>
    <s v="RSM Pharma"/>
    <d v="2025-10-26T00:00:00"/>
    <n v="426.49999999999994"/>
    <n v="469.15"/>
    <n v="537"/>
    <n v="42.650000000000034"/>
  </r>
  <r>
    <n v="488"/>
    <s v="AB Next Gel"/>
    <x v="8"/>
    <n v="1"/>
    <s v="RSM Pharma"/>
    <d v="2025-10-26T00:00:00"/>
    <n v="332.22727272727269"/>
    <n v="365.45"/>
    <n v="372.21"/>
    <n v="33.222727272727298"/>
  </r>
  <r>
    <n v="489"/>
    <s v="Glyciphage G1"/>
    <x v="9"/>
    <n v="3"/>
    <s v="RSM Pharma"/>
    <d v="2025-10-26T00:00:00"/>
    <n v="60.645454545454534"/>
    <n v="66.709999999999994"/>
    <n v="203.83"/>
    <n v="6.0645454545454598"/>
  </r>
  <r>
    <n v="490"/>
    <s v="Zincovit Syrup"/>
    <x v="11"/>
    <n v="1"/>
    <s v="RSM Pharma"/>
    <d v="2025-10-26T00:00:00"/>
    <n v="110.93636363636362"/>
    <n v="122.03"/>
    <n v="124.29"/>
    <n v="11.093636363636378"/>
  </r>
  <r>
    <n v="491"/>
    <s v="Alerid Syrup"/>
    <x v="1"/>
    <n v="11"/>
    <s v="RSM Pharma"/>
    <d v="2025-10-26T00:00:00"/>
    <n v="29.227272727272723"/>
    <n v="32.15"/>
    <n v="360.2"/>
    <n v="2.9227272727272755"/>
  </r>
  <r>
    <n v="492"/>
    <s v="Tarich Lotion"/>
    <x v="0"/>
    <n v="3"/>
    <s v="RSM Pharma"/>
    <d v="2025-10-26T00:00:00"/>
    <n v="418.83636363636361"/>
    <n v="460.72"/>
    <n v="1407.74"/>
    <n v="41.883636363636413"/>
  </r>
  <r>
    <n v="493"/>
    <s v="KLM D3 Nano Shots"/>
    <x v="11"/>
    <n v="4"/>
    <s v="RSM Pharma"/>
    <d v="2025-10-26T00:00:00"/>
    <n v="53.25454545454545"/>
    <n v="58.58"/>
    <n v="238.65"/>
    <n v="5.3254545454545479"/>
  </r>
  <r>
    <n v="494"/>
    <s v="Tressgain Serum"/>
    <x v="2"/>
    <n v="3"/>
    <s v="Sri Vignesh Pharma"/>
    <d v="2025-10-26T00:00:00"/>
    <n v="923.92727272727268"/>
    <n v="1016.32"/>
    <n v="3048.96"/>
    <n v="92.39272727272737"/>
  </r>
  <r>
    <n v="495"/>
    <s v="Tressgain Serum"/>
    <x v="2"/>
    <n v="2"/>
    <s v="Sri Vignesh Pharma"/>
    <d v="2025-10-26T00:00:00"/>
    <n v="923.92727272727268"/>
    <n v="1016.32"/>
    <n v="2032.64"/>
    <n v="92.39272727272737"/>
  </r>
  <r>
    <n v="496"/>
    <s v="Sporamiz SB 130 Caos"/>
    <x v="1"/>
    <n v="50"/>
    <s v="Medline Distributors"/>
    <d v="2025-10-27T00:00:00"/>
    <n v="188.30909090909088"/>
    <n v="207.14"/>
    <n v="10548.61"/>
    <n v="18.830909090909103"/>
  </r>
  <r>
    <n v="497"/>
    <s v="Minfin NX 5% "/>
    <x v="2"/>
    <n v="5"/>
    <s v="Medline Distributors"/>
    <d v="2025-10-27T00:00:00"/>
    <n v="616.88181818181818"/>
    <n v="678.57"/>
    <n v="3455.62"/>
    <n v="61.688181818181874"/>
  </r>
  <r>
    <n v="498"/>
    <s v="Flomist Nasal Spray"/>
    <x v="3"/>
    <n v="1"/>
    <s v="RSM Pharma"/>
    <d v="2025-10-27T00:00:00"/>
    <n v="334.0454545454545"/>
    <n v="367.45"/>
    <n v="374.25"/>
    <n v="33.404545454545485"/>
  </r>
  <r>
    <n v="499"/>
    <s v="MX S Topical Solution"/>
    <x v="2"/>
    <n v="2"/>
    <s v="RSM Pharma"/>
    <d v="2025-10-27T00:00:00"/>
    <n v="646.1"/>
    <n v="710.71"/>
    <n v="1447.72"/>
    <n v="64.610000000000014"/>
  </r>
  <r>
    <n v="500"/>
    <s v="Dermadew Aloe Plus"/>
    <x v="0"/>
    <n v="1"/>
    <s v="RSM Pharma"/>
    <d v="2025-10-27T00:00:00"/>
    <n v="155.31818181818181"/>
    <n v="170.85"/>
    <n v="195.54"/>
    <n v="15.531818181818181"/>
  </r>
  <r>
    <n v="501"/>
    <s v="Propysalic NF Ointment"/>
    <x v="1"/>
    <n v="1"/>
    <s v="RSM Pharma"/>
    <d v="2025-10-27T00:00:00"/>
    <n v="181.17272727272726"/>
    <n v="199.29"/>
    <n v="202.97"/>
    <n v="18.117272727272734"/>
  </r>
  <r>
    <n v="502"/>
    <s v="GP 3MG Tab"/>
    <x v="9"/>
    <n v="2"/>
    <s v="RSM Pharma"/>
    <d v="2025-10-27T00:00:00"/>
    <n v="98.381818181818176"/>
    <n v="108.22"/>
    <n v="220.45"/>
    <n v="9.8381818181818232"/>
  </r>
  <r>
    <n v="503"/>
    <s v="Glucoryl MV2 Tab 15'S"/>
    <x v="9"/>
    <n v="4"/>
    <s v="RSM Pharma"/>
    <d v="2025-10-27T00:00:00"/>
    <n v="240.24545454545452"/>
    <n v="264.27"/>
    <n v="1076.6300000000001"/>
    <n v="24.024545454545461"/>
  </r>
  <r>
    <n v="504"/>
    <s v="Tazloc Beta 50MG Tab"/>
    <x v="5"/>
    <n v="1"/>
    <s v="RSM Pharma"/>
    <d v="2025-10-27T00:00:00"/>
    <n v="143.11818181818182"/>
    <n v="157.43"/>
    <n v="160.35"/>
    <n v="14.311818181818182"/>
  </r>
  <r>
    <n v="505"/>
    <s v="T Bact Oint 15GM"/>
    <x v="1"/>
    <n v="2"/>
    <s v="RSM Pharma"/>
    <d v="2025-10-27T00:00:00"/>
    <n v="225.16363636363636"/>
    <n v="247.68"/>
    <n v="504.52"/>
    <n v="22.51636363636365"/>
  </r>
  <r>
    <n v="506"/>
    <s v="Cobadex CZS Tab"/>
    <x v="11"/>
    <n v="7"/>
    <s v="RSM Pharma"/>
    <d v="2025-10-27T00:00:00"/>
    <n v="80.645454545454527"/>
    <n v="88.71"/>
    <n v="591.79999999999995"/>
    <n v="8.0645454545454669"/>
  </r>
  <r>
    <n v="507"/>
    <s v="Rantac 300MG Tab"/>
    <x v="4"/>
    <n v="5"/>
    <s v="RSM Pharma"/>
    <d v="2025-10-27T00:00:00"/>
    <n v="67.718181818181804"/>
    <n v="74.489999999999995"/>
    <n v="341.4"/>
    <n v="6.7718181818181904"/>
  </r>
  <r>
    <n v="508"/>
    <s v="Regabipo Spray "/>
    <x v="2"/>
    <n v="1"/>
    <s v="RSM Pharma"/>
    <d v="2025-10-27T00:00:00"/>
    <n v="307.5545454545454"/>
    <n v="338.31"/>
    <n v="387.22"/>
    <n v="30.755454545454597"/>
  </r>
  <r>
    <n v="509"/>
    <s v="Ifin 250MG Tab"/>
    <x v="1"/>
    <n v="1"/>
    <s v="RSM Pharma"/>
    <d v="2025-10-27T00:00:00"/>
    <n v="91.236363636363635"/>
    <n v="100.36"/>
    <n v="102.21"/>
    <n v="9.1236363636363649"/>
  </r>
  <r>
    <n v="510"/>
    <s v="Cuticlair ADV Foam Face Wash"/>
    <x v="0"/>
    <n v="5"/>
    <s v="RSM Pharma"/>
    <d v="2025-10-27T00:00:00"/>
    <n v="411.86363636363632"/>
    <n v="453.05"/>
    <n v="2592.81"/>
    <n v="41.186363636363694"/>
  </r>
  <r>
    <n v="511"/>
    <s v="Cardace 2.5MG Tab"/>
    <x v="5"/>
    <n v="2"/>
    <s v="RSM Pharma"/>
    <d v="2025-10-27T00:00:00"/>
    <n v="56.836363636363636"/>
    <n v="62.52"/>
    <n v="127.36"/>
    <n v="5.6836363636363672"/>
  </r>
  <r>
    <n v="512"/>
    <s v="Daparyl V 10/100 Tab"/>
    <x v="9"/>
    <n v="1"/>
    <s v="RSM Pharma"/>
    <d v="2025-10-27T00:00:00"/>
    <n v="133.44545454545454"/>
    <n v="146.79"/>
    <n v="149.51"/>
    <n v="13.344545454545454"/>
  </r>
  <r>
    <n v="513"/>
    <s v="Eberfine XL Cream"/>
    <x v="1"/>
    <n v="3"/>
    <s v="RSM Pharma"/>
    <d v="2025-10-28T00:00:00"/>
    <n v="334.41818181818178"/>
    <n v="367.86"/>
    <n v="1123.99"/>
    <n v="33.441818181818235"/>
  </r>
  <r>
    <n v="514"/>
    <s v="Gabapin ME 100MG Tab"/>
    <x v="8"/>
    <n v="2"/>
    <s v="RSM Pharma"/>
    <d v="2025-10-28T00:00:00"/>
    <n v="139.6090909090909"/>
    <n v="153.57"/>
    <n v="312.83"/>
    <n v="13.960909090909098"/>
  </r>
  <r>
    <n v="515"/>
    <s v="Hhomega + Cap"/>
    <x v="11"/>
    <n v="6"/>
    <s v="RSM Pharma"/>
    <d v="2025-10-28T00:00:00"/>
    <n v="141.76363636363635"/>
    <n v="155.94"/>
    <n v="952.95"/>
    <n v="14.176363636363646"/>
  </r>
  <r>
    <n v="516"/>
    <s v="Hhsalic 6 Oint"/>
    <x v="1"/>
    <n v="2"/>
    <s v="RSM Pharma"/>
    <d v="2025-10-28T00:00:00"/>
    <n v="159.09090909090907"/>
    <n v="175"/>
    <n v="356.48"/>
    <n v="15.909090909090935"/>
  </r>
  <r>
    <n v="517"/>
    <s v="Hhlevo 5MG Tab"/>
    <x v="1"/>
    <n v="2"/>
    <s v="RSM Pharma"/>
    <d v="2025-10-28T00:00:00"/>
    <n v="59.736363636363627"/>
    <n v="65.709999999999994"/>
    <n v="133.86000000000001"/>
    <n v="5.9736363636363663"/>
  </r>
  <r>
    <n v="518"/>
    <s v="LZHH Cream"/>
    <x v="1"/>
    <n v="1"/>
    <s v="RSM Pharma"/>
    <d v="2025-10-28T00:00:00"/>
    <n v="165.58181818181816"/>
    <n v="182.14"/>
    <n v="185.52"/>
    <n v="16.558181818181822"/>
  </r>
  <r>
    <n v="519"/>
    <s v="Mintop Eva Solution"/>
    <x v="2"/>
    <n v="1"/>
    <s v="RSM Pharma"/>
    <d v="2025-10-28T00:00:00"/>
    <n v="850.80909090909086"/>
    <n v="935.89"/>
    <n v="953.21"/>
    <n v="85.080909090909131"/>
  </r>
  <r>
    <n v="520"/>
    <s v="VildaPride DM 1000MG Tab"/>
    <x v="9"/>
    <n v="3"/>
    <s v="RSM Pharma"/>
    <d v="2025-10-28T00:00:00"/>
    <n v="118.71818181818182"/>
    <n v="130.59"/>
    <n v="399.02"/>
    <n v="11.871818181818185"/>
  </r>
  <r>
    <n v="521"/>
    <s v="KZ Plus Medicated Soap"/>
    <x v="1"/>
    <n v="3"/>
    <s v="RSM Pharma"/>
    <d v="2025-10-28T00:00:00"/>
    <n v="122.03636363636363"/>
    <n v="134.24"/>
    <n v="410.18"/>
    <n v="12.203636363636377"/>
  </r>
  <r>
    <n v="522"/>
    <s v="Cutihance Women Tab"/>
    <x v="11"/>
    <n v="1"/>
    <s v="RSM Pharma"/>
    <d v="2025-10-28T00:00:00"/>
    <n v="416.0272727272727"/>
    <n v="457.63"/>
    <n v="466.1"/>
    <n v="41.602727272727293"/>
  </r>
  <r>
    <n v="523"/>
    <s v="Lecmon-AX Tab"/>
    <x v="1"/>
    <n v="5"/>
    <s v="RSM Pharma"/>
    <d v="2025-10-28T00:00:00"/>
    <n v="72.545454545454533"/>
    <n v="79.8"/>
    <n v="406.39"/>
    <n v="7.2545454545454646"/>
  </r>
  <r>
    <n v="524"/>
    <s v="Brufen 600 Tab"/>
    <x v="8"/>
    <n v="5"/>
    <s v="RSM Pharma"/>
    <d v="2025-10-28T00:00:00"/>
    <n v="27.518181818181816"/>
    <n v="30.27"/>
    <n v="154.15"/>
    <n v="2.7518181818181837"/>
  </r>
  <r>
    <n v="525"/>
    <s v="Ezhh Cream"/>
    <x v="1"/>
    <n v="1"/>
    <s v="RSM Pharma"/>
    <d v="2025-10-28T00:00:00"/>
    <n v="224.0272727272727"/>
    <n v="246.43"/>
    <n v="251"/>
    <n v="22.402727272727304"/>
  </r>
  <r>
    <n v="526"/>
    <s v="Tarich Lotion"/>
    <x v="0"/>
    <n v="2"/>
    <s v="RSM Pharma"/>
    <d v="2025-10-28T00:00:00"/>
    <n v="418.83636363636361"/>
    <n v="460.72"/>
    <n v="938.5"/>
    <n v="41.883636363636413"/>
  </r>
  <r>
    <n v="527"/>
    <s v="Tressgain Serum 50GM"/>
    <x v="2"/>
    <n v="3"/>
    <s v="Sri Vignesh Pharma"/>
    <d v="2025-10-28T00:00:00"/>
    <n v="923.92727272727268"/>
    <n v="1016.32"/>
    <n v="3048.96"/>
    <n v="92.39272727272737"/>
  </r>
  <r>
    <n v="528"/>
    <s v="Tressgain Serum 50GM"/>
    <x v="2"/>
    <n v="7"/>
    <s v="Sri Vignesh Pharma"/>
    <d v="2025-10-28T00:00:00"/>
    <n v="923.92727272727268"/>
    <n v="1016.32"/>
    <n v="7114.24"/>
    <n v="92.39272727272737"/>
  </r>
  <r>
    <n v="529"/>
    <s v="Trichogrow Shampoo 150ML"/>
    <x v="2"/>
    <n v="4"/>
    <s v="Sri Vignesh Pharma"/>
    <d v="2025-10-28T00:00:00"/>
    <n v="424.67272727272723"/>
    <n v="467.14"/>
    <n v="1868.56"/>
    <n v="42.467272727272757"/>
  </r>
  <r>
    <n v="530"/>
    <s v="Trichogrow Shampoo 150ML"/>
    <x v="2"/>
    <n v="6"/>
    <s v="Sri Vignesh Pharma"/>
    <d v="2025-10-28T00:00:00"/>
    <n v="424.67272727272723"/>
    <n v="467.14"/>
    <n v="2802.84"/>
    <n v="42.467272727272757"/>
  </r>
  <r>
    <n v="531"/>
    <s v="Gentle Baby Wipes "/>
    <x v="7"/>
    <n v="1"/>
    <s v="RSM Pharma"/>
    <d v="2025-10-28T00:00:00"/>
    <n v="134.81818181818181"/>
    <n v="148.30000000000001"/>
    <n v="175"/>
    <n v="13.481818181818198"/>
  </r>
  <r>
    <n v="534"/>
    <s v="Seb Anti Dandruff Shampoo"/>
    <x v="2"/>
    <n v="2"/>
    <s v="RSM Pharma"/>
    <d v="2025-10-28T00:00:00"/>
    <n v="436.5090909090909"/>
    <n v="480.16"/>
    <n v="1008.34"/>
    <n v="43.650909090909124"/>
  </r>
  <r>
    <n v="535"/>
    <s v="Candid Gold Powder 100GM"/>
    <x v="1"/>
    <n v="2"/>
    <s v="RSM Pharma"/>
    <d v="2025-10-28T00:00:00"/>
    <n v="154.21818181818179"/>
    <n v="169.64"/>
    <n v="345.56"/>
    <n v="15.421818181818196"/>
  </r>
  <r>
    <n v="536"/>
    <s v="Turby D SYP"/>
    <x v="3"/>
    <n v="1"/>
    <s v="RSM Pharma"/>
    <d v="2025-10-28T00:00:00"/>
    <n v="83.763636363636351"/>
    <n v="92.14"/>
    <n v="93.84"/>
    <n v="8.3763636363636493"/>
  </r>
  <r>
    <n v="537"/>
    <s v="Sporamiz 200MG Caps"/>
    <x v="1"/>
    <n v="1"/>
    <s v="RSM Pharma"/>
    <d v="2025-10-28T00:00:00"/>
    <n v="160.87272727272727"/>
    <n v="176.96"/>
    <n v="180.23"/>
    <n v="16.087272727272733"/>
  </r>
  <r>
    <n v="538"/>
    <s v="LA Shield IR Gel "/>
    <x v="10"/>
    <n v="1"/>
    <s v="RSM Pharma"/>
    <d v="2025-10-28T00:00:00"/>
    <n v="604.62727272727273"/>
    <n v="665.09"/>
    <n v="761.26"/>
    <n v="60.462727272727307"/>
  </r>
  <r>
    <n v="539"/>
    <s v="Melgain 2ML"/>
    <x v="0"/>
    <n v="1"/>
    <s v="RSM Pharma"/>
    <d v="2025-10-28T00:00:00"/>
    <n v="385.71818181818179"/>
    <n v="424.29"/>
    <n v="432.14"/>
    <n v="38.57181818181823"/>
  </r>
  <r>
    <n v="540"/>
    <s v="Sitaday DM Tab"/>
    <x v="9"/>
    <n v="1"/>
    <s v="RSM Pharma"/>
    <d v="2025-10-28T00:00:00"/>
    <n v="213.30909090909088"/>
    <n v="234.64"/>
    <n v="238.98"/>
    <n v="21.330909090909103"/>
  </r>
  <r>
    <n v="541"/>
    <s v="Foracort 200 R/C 60'S"/>
    <x v="6"/>
    <n v="5"/>
    <s v="RSM Pharma"/>
    <d v="2025-10-28T00:00:00"/>
    <n v="249.6"/>
    <n v="274.56"/>
    <n v="1258.3699999999999"/>
    <n v="24.960000000000008"/>
  </r>
  <r>
    <n v="542"/>
    <s v="Oaknets Photo First Cream"/>
    <x v="10"/>
    <n v="1"/>
    <s v="RSM Pharma"/>
    <d v="2025-10-28T00:00:00"/>
    <n v="1118.6454545454544"/>
    <n v="1230.51"/>
    <n v="1408.43"/>
    <n v="111.86454545454558"/>
  </r>
  <r>
    <n v="543"/>
    <s v="Clohex ADS Liquid "/>
    <x v="2"/>
    <n v="3"/>
    <s v="RSM Pharma"/>
    <d v="2025-10-28T00:00:00"/>
    <n v="187.49999999999997"/>
    <n v="206.25"/>
    <n v="630.19000000000005"/>
    <n v="18.750000000000028"/>
  </r>
  <r>
    <n v="544"/>
    <s v="Myoril 4MG Caps"/>
    <x v="8"/>
    <n v="2"/>
    <s v="RSM Pharma"/>
    <d v="2025-10-28T00:00:00"/>
    <n v="207.30909090909088"/>
    <n v="228.04"/>
    <n v="464.52"/>
    <n v="20.730909090909108"/>
  </r>
  <r>
    <n v="545"/>
    <s v="Ivrea Shampoo "/>
    <x v="2"/>
    <n v="1"/>
    <s v="RSM Pharma"/>
    <d v="2025-10-28T00:00:00"/>
    <n v="84.418181818181807"/>
    <n v="92.86"/>
    <n v="94.57"/>
    <n v="8.4418181818181921"/>
  </r>
  <r>
    <n v="546"/>
    <s v="Nervijen Plus Injection"/>
    <x v="11"/>
    <n v="5"/>
    <s v="RSM Pharma"/>
    <d v="2025-10-28T00:00:00"/>
    <n v="73.699999999999989"/>
    <n v="81.069999999999993"/>
    <n v="371.57"/>
    <n v="7.3700000000000045"/>
  </r>
  <r>
    <n v="547"/>
    <s v="Tiger Balm Red "/>
    <x v="8"/>
    <n v="1"/>
    <s v="RSM Pharma"/>
    <d v="2025-10-28T00:00:00"/>
    <n v="69.236363636363635"/>
    <n v="76.16"/>
    <n v="79.959999999999994"/>
    <n v="6.923636363636362"/>
  </r>
  <r>
    <n v="548"/>
    <s v="Seb Anti Hairloss Shampoo"/>
    <x v="2"/>
    <n v="1"/>
    <s v="RSM Pharma"/>
    <d v="2025-10-29T00:00:00"/>
    <n v="474.75454545454545"/>
    <n v="522.23"/>
    <n v="548.35"/>
    <n v="47.475454545454568"/>
  </r>
  <r>
    <n v="549"/>
    <s v="Erytop Gel"/>
    <x v="0"/>
    <n v="1"/>
    <s v="RSM Pharma"/>
    <d v="2025-10-29T00:00:00"/>
    <n v="148.22727272727272"/>
    <n v="163.05000000000001"/>
    <n v="166.06"/>
    <n v="14.822727272727292"/>
  </r>
  <r>
    <n v="550"/>
    <s v="Sinarest New Tab"/>
    <x v="3"/>
    <n v="10"/>
    <s v="RSM Pharma"/>
    <d v="2025-10-29T00:00:00"/>
    <n v="85.636363636363626"/>
    <n v="94.2"/>
    <n v="959.42"/>
    <n v="8.5636363636363768"/>
  </r>
  <r>
    <n v="551"/>
    <s v="Clindac A Gel"/>
    <x v="0"/>
    <n v="1"/>
    <s v="RSM Pharma"/>
    <d v="2025-10-29T00:00:00"/>
    <n v="174.54545454545453"/>
    <n v="192"/>
    <n v="195.56"/>
    <n v="17.454545454545467"/>
  </r>
  <r>
    <n v="552"/>
    <s v="Renerve Plus Caps"/>
    <x v="8"/>
    <n v="1"/>
    <s v="RSM Pharma"/>
    <d v="2025-10-29T00:00:00"/>
    <n v="207.55454545454543"/>
    <n v="228.31"/>
    <n v="232.54"/>
    <n v="20.755454545454569"/>
  </r>
  <r>
    <n v="553"/>
    <s v="Tedibar 75GM 2'S"/>
    <x v="0"/>
    <n v="5"/>
    <s v="RSM Pharma"/>
    <d v="2025-10-29T00:00:00"/>
    <n v="241.59999999999997"/>
    <n v="265.76"/>
    <n v="1520.94"/>
    <n v="24.160000000000025"/>
  </r>
  <r>
    <n v="554"/>
    <s v="D Veniz 50MG Tab"/>
    <x v="8"/>
    <n v="4"/>
    <s v="RSM Pharma"/>
    <d v="2025-10-29T00:00:00"/>
    <n v="140.90909090909091"/>
    <n v="155"/>
    <n v="631.48"/>
    <n v="14.090909090909093"/>
  </r>
  <r>
    <n v="555"/>
    <s v="Senquel AD M/Wash "/>
    <x v="2"/>
    <n v="3"/>
    <s v="RSM Pharma"/>
    <d v="2025-10-29T00:00:00"/>
    <n v="115.41818181818181"/>
    <n v="126.96"/>
    <n v="387.93"/>
    <n v="11.541818181818186"/>
  </r>
  <r>
    <n v="556"/>
    <s v="Macbery Susp"/>
    <x v="3"/>
    <n v="1"/>
    <s v="RSM Pharma"/>
    <d v="2025-10-29T00:00:00"/>
    <n v="85.509090909090901"/>
    <n v="94.06"/>
    <n v="95.8"/>
    <n v="8.5509090909091015"/>
  </r>
  <r>
    <n v="557"/>
    <s v="Propysalic Plus 3% Lotion"/>
    <x v="1"/>
    <n v="2"/>
    <s v="Ram Agencies"/>
    <d v="2025-10-29T00:00:00"/>
    <n v="71.427272727272722"/>
    <n v="78.569999999999993"/>
    <n v="160.05000000000001"/>
    <n v="7.1427272727272708"/>
  </r>
  <r>
    <n v="558"/>
    <s v="Clop S 3.5 Lotion"/>
    <x v="1"/>
    <n v="5"/>
    <s v="Ram Agencies"/>
    <d v="2025-10-29T00:00:00"/>
    <n v="136.36363636363635"/>
    <n v="150"/>
    <n v="763.88"/>
    <n v="13.636363636363654"/>
  </r>
  <r>
    <n v="559"/>
    <s v="Propysalic Plus 6% Lotion"/>
    <x v="1"/>
    <n v="2"/>
    <s v="Ram Agencies"/>
    <d v="2025-10-29T00:00:00"/>
    <n v="77.918181818181807"/>
    <n v="85.71"/>
    <n v="174.6"/>
    <n v="7.7918181818181864"/>
  </r>
  <r>
    <n v="560"/>
    <s v="Tenovate M Cream"/>
    <x v="1"/>
    <n v="1"/>
    <s v="Ram Agencies"/>
    <d v="2025-10-29T00:00:00"/>
    <n v="94.872727272727261"/>
    <n v="104.36"/>
    <n v="106.29"/>
    <n v="9.4872727272727388"/>
  </r>
  <r>
    <n v="561"/>
    <s v="Sinarest AF Drops"/>
    <x v="3"/>
    <n v="1"/>
    <s v="Ram Agencies"/>
    <d v="2025-10-29T00:00:00"/>
    <n v="60.18181818181818"/>
    <n v="66.2"/>
    <n v="67.430000000000007"/>
    <n v="6.018181818181823"/>
  </r>
  <r>
    <n v="562"/>
    <s v="Zedex Cough Syrup"/>
    <x v="3"/>
    <n v="1"/>
    <s v="Ram Agencies"/>
    <d v="2025-10-29T00:00:00"/>
    <n v="124.34545454545453"/>
    <n v="136.78"/>
    <n v="139.32"/>
    <n v="12.434545454545471"/>
  </r>
  <r>
    <n v="563"/>
    <s v="Duphalac Syrup"/>
    <x v="4"/>
    <n v="1"/>
    <s v="Ram Agencies"/>
    <d v="2025-10-29T00:00:00"/>
    <n v="227.27272727272725"/>
    <n v="250"/>
    <n v="254.62"/>
    <n v="22.727272727272748"/>
  </r>
  <r>
    <n v="564"/>
    <s v="Dexona Tab"/>
    <x v="1"/>
    <n v="5"/>
    <s v="Ram Agencies"/>
    <d v="2025-10-29T00:00:00"/>
    <n v="4.8"/>
    <n v="5.28"/>
    <n v="26.89"/>
    <n v="0.48000000000000043"/>
  </r>
  <r>
    <n v="565"/>
    <s v="Eumosone M Cream"/>
    <x v="1"/>
    <n v="1"/>
    <s v="Ram Agencies"/>
    <d v="2025-10-29T00:00:00"/>
    <n v="96.072727272727278"/>
    <n v="105.68"/>
    <n v="107.63"/>
    <n v="9.6072727272727292"/>
  </r>
  <r>
    <n v="566"/>
    <s v="Betadine G 2% "/>
    <x v="12"/>
    <n v="1"/>
    <s v="Ram Agencies"/>
    <d v="2025-10-29T00:00:00"/>
    <n v="131.81818181818181"/>
    <n v="145"/>
    <n v="147.69"/>
    <n v="13.181818181818187"/>
  </r>
  <r>
    <n v="567"/>
    <s v="Cosmelite Next Cream"/>
    <x v="0"/>
    <n v="4"/>
    <s v="Avenues Pharma "/>
    <d v="2025-10-29T00:00:00"/>
    <n v="426.49999999999994"/>
    <n v="469.15"/>
    <n v="5369.89"/>
    <n v="42.650000000000034"/>
  </r>
  <r>
    <n v="568"/>
    <s v="Disokem Lotion"/>
    <x v="0"/>
    <n v="22"/>
    <s v="JMJ Pharma"/>
    <d v="2025-10-30T00:00:00"/>
    <n v="202.24545454545452"/>
    <n v="222.47"/>
    <n v="4449.3999999999996"/>
    <n v="20.224545454545478"/>
  </r>
  <r>
    <n v="569"/>
    <s v="Fairvit Soap"/>
    <x v="0"/>
    <n v="33"/>
    <s v="JMJ Pharma"/>
    <d v="2025-10-30T00:00:00"/>
    <n v="78.272727272727266"/>
    <n v="86.1"/>
    <n v="2583"/>
    <n v="7.827272727272728"/>
  </r>
  <r>
    <n v="570"/>
    <s v="Minoking-50 DT"/>
    <x v="8"/>
    <n v="11"/>
    <s v="JMJ Pharma"/>
    <d v="2025-10-30T00:00:00"/>
    <n v="187.0090909090909"/>
    <n v="205.71"/>
    <n v="2057.1"/>
    <n v="18.700909090909107"/>
  </r>
  <r>
    <n v="571"/>
    <s v="Eberfine XL Cream"/>
    <x v="1"/>
    <n v="12"/>
    <s v="RSM Pharma"/>
    <d v="2025-10-30T00:00:00"/>
    <n v="334.41818181818178"/>
    <n v="367.86"/>
    <n v="3746.66"/>
    <n v="33.441818181818235"/>
  </r>
  <r>
    <n v="572"/>
    <s v="Mildy Shampoo "/>
    <x v="2"/>
    <n v="1"/>
    <s v="RSM Pharma"/>
    <d v="2025-10-30T00:00:00"/>
    <n v="138.5272727272727"/>
    <n v="152.38"/>
    <n v="155.21"/>
    <n v="13.852727272727293"/>
  </r>
  <r>
    <n v="573"/>
    <s v="Ecosprin AV 75/40 Cap"/>
    <x v="5"/>
    <n v="3"/>
    <s v="RSM Pharma"/>
    <d v="2025-10-30T00:00:00"/>
    <n v="241.25454545454542"/>
    <n v="265.38"/>
    <n v="510.54"/>
    <n v="24.125454545454573"/>
  </r>
  <r>
    <n v="574"/>
    <s v="Picon cream "/>
    <x v="1"/>
    <n v="2"/>
    <s v="RSM Pharma"/>
    <d v="2025-10-30T00:00:00"/>
    <n v="457.85454545454542"/>
    <n v="503.64"/>
    <n v="1025.92"/>
    <n v="45.78545454545457"/>
  </r>
  <r>
    <n v="575"/>
    <s v="Tenovate M Cream"/>
    <x v="1"/>
    <n v="1"/>
    <s v="RSM Pharma"/>
    <d v="2025-10-30T00:00:00"/>
    <n v="78.054545454545448"/>
    <n v="85.86"/>
    <n v="87.44"/>
    <n v="7.8054545454545519"/>
  </r>
  <r>
    <n v="576"/>
    <s v="Lorfast Meltab"/>
    <x v="1"/>
    <n v="3"/>
    <s v="RSM Pharma"/>
    <d v="2025-10-30T00:00:00"/>
    <n v="89.609090909090895"/>
    <n v="98.57"/>
    <n v="301.18"/>
    <n v="8.960909090909098"/>
  </r>
  <r>
    <n v="577"/>
    <s v="Thyronorm 75MCG 120'S Tab"/>
    <x v="11"/>
    <n v="1"/>
    <s v="RSM Pharma"/>
    <d v="2025-10-30T00:00:00"/>
    <n v="127.42727272727271"/>
    <n v="140.16999999999999"/>
    <n v="142.76"/>
    <n v="12.742727272727279"/>
  </r>
  <r>
    <n v="578"/>
    <s v="Kera XL Hair Growth Serum"/>
    <x v="2"/>
    <n v="1"/>
    <s v="RSM Pharma"/>
    <d v="2025-10-30T00:00:00"/>
    <n v="857.93636363636358"/>
    <n v="943.73"/>
    <n v="1080.2"/>
    <n v="85.793636363636438"/>
  </r>
  <r>
    <n v="579"/>
    <s v="Kerabounce Shampoo"/>
    <x v="2"/>
    <n v="1"/>
    <s v="RSM Pharma"/>
    <d v="2025-10-30T00:00:00"/>
    <n v="323.46363636363634"/>
    <n v="355.81"/>
    <n v="362.4"/>
    <n v="32.346363636363662"/>
  </r>
  <r>
    <n v="580"/>
    <s v="Torplat 60MG Tab"/>
    <x v="5"/>
    <n v="6"/>
    <s v="RSM Pharma"/>
    <d v="2025-10-30T00:00:00"/>
    <n v="141.85454545454544"/>
    <n v="156.04"/>
    <n v="953.55"/>
    <n v="14.185454545454547"/>
  </r>
  <r>
    <n v="581"/>
    <s v="Aziderm Plus "/>
    <x v="0"/>
    <n v="1"/>
    <s v="RSM Pharma"/>
    <d v="2025-10-30T00:00:00"/>
    <n v="422.08181818181816"/>
    <n v="464.29"/>
    <n v="472.88"/>
    <n v="42.208181818181856"/>
  </r>
  <r>
    <n v="582"/>
    <s v="Megalis D Tab"/>
    <x v="8"/>
    <n v="1"/>
    <s v="RSM Pharma"/>
    <d v="2025-10-30T00:00:00"/>
    <n v="252.14545454545453"/>
    <n v="277.36"/>
    <n v="282.5"/>
    <n v="25.214545454545487"/>
  </r>
  <r>
    <n v="583"/>
    <s v="Oxra S Tab"/>
    <x v="9"/>
    <n v="2"/>
    <s v="RSM Pharma"/>
    <d v="2025-10-30T00:00:00"/>
    <n v="208.44545454545451"/>
    <n v="229.29"/>
    <n v="467.06"/>
    <n v="20.844545454545482"/>
  </r>
  <r>
    <n v="584"/>
    <s v="Nebicard T Tab"/>
    <x v="5"/>
    <n v="1"/>
    <s v="RSM Pharma"/>
    <d v="2025-10-30T00:00:00"/>
    <n v="232.40909090909091"/>
    <n v="255.65"/>
    <n v="260.38"/>
    <n v="23.240909090909099"/>
  </r>
  <r>
    <m/>
    <m/>
    <x v="14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s v="Dermadew Aloe Plus"/>
    <s v="Skincare"/>
    <n v="1"/>
    <s v="Ram Agencies"/>
    <x v="0"/>
    <n v="155.31818181818181"/>
    <n v="170.85"/>
    <n v="195.54"/>
    <n v="15.531818181818181"/>
  </r>
  <r>
    <s v="Triluma Cream"/>
    <s v="Skincare"/>
    <n v="2"/>
    <s v="Ram Agencies"/>
    <x v="0"/>
    <n v="546.1"/>
    <n v="600.71"/>
    <n v="1223.6400000000001"/>
    <n v="54.610000000000014"/>
  </r>
  <r>
    <s v="Epilyno Lotion"/>
    <s v="Skincare"/>
    <n v="2"/>
    <s v="Ram Agencies"/>
    <x v="0"/>
    <n v="323.58181818181816"/>
    <n v="355.94"/>
    <n v="814.82"/>
    <n v="32.358181818181833"/>
  </r>
  <r>
    <s v="Lulifin Cream"/>
    <s v="Anti-microbial"/>
    <n v="5"/>
    <s v="Ram Agencies"/>
    <x v="0"/>
    <n v="219.48181818181817"/>
    <n v="241.43"/>
    <n v="1229.48"/>
    <n v="21.948181818181837"/>
  </r>
  <r>
    <s v="Aziderm Plus Cream"/>
    <s v="Skincare"/>
    <n v="3"/>
    <s v="Ram Agencies"/>
    <x v="0"/>
    <n v="225.97272727272724"/>
    <n v="248.57"/>
    <n v="759.5"/>
    <n v="22.597272727272752"/>
  </r>
  <r>
    <s v="Aquahance Moisture"/>
    <s v="Skincare"/>
    <n v="1"/>
    <s v="Ram Agencies"/>
    <x v="0"/>
    <n v="169.49090909090907"/>
    <n v="186.44"/>
    <n v="220"/>
    <n v="16.949090909090927"/>
  </r>
  <r>
    <s v="Hhzole Cream"/>
    <s v="Anti-microbial"/>
    <n v="1"/>
    <s v="Ram Agencies"/>
    <x v="0"/>
    <n v="146.1"/>
    <n v="160.71"/>
    <n v="163.69"/>
    <n v="14.610000000000014"/>
  </r>
  <r>
    <s v="Hhsone Cream"/>
    <s v="Anti-microbial"/>
    <n v="3"/>
    <s v="Ram Agencies"/>
    <x v="0"/>
    <n v="135.71818181818179"/>
    <n v="149.29"/>
    <n v="456.15"/>
    <n v="13.571818181818202"/>
  </r>
  <r>
    <s v="Clonate Oint"/>
    <s v="Anti-microbial"/>
    <n v="5"/>
    <s v="Ram Agencies"/>
    <x v="0"/>
    <n v="123.37272727272727"/>
    <n v="135.71"/>
    <n v="691.09"/>
    <n v="12.337272727272733"/>
  </r>
  <r>
    <s v="Oflox-200 Tab"/>
    <s v="Anti-microbial"/>
    <n v="5"/>
    <s v="Ram Agencies"/>
    <x v="0"/>
    <n v="69.581818181818178"/>
    <n v="76.540000000000006"/>
    <n v="350.8"/>
    <n v="6.9581818181818278"/>
  </r>
  <r>
    <s v="Ketafung CT Solution"/>
    <s v="Body Care"/>
    <n v="1"/>
    <s v="Ram Agencies"/>
    <x v="0"/>
    <n v="218.67272727272726"/>
    <n v="240.54"/>
    <n v="244.98"/>
    <n v="21.867272727272734"/>
  </r>
  <r>
    <s v="Strepsils Orange"/>
    <s v="Cold/Cough"/>
    <n v="1"/>
    <s v="Ram Agencies"/>
    <x v="0"/>
    <n v="572.72727272727263"/>
    <n v="630"/>
    <n v="661.5"/>
    <n v="57.272727272727366"/>
  </r>
  <r>
    <s v="Hhcepo CV 325 Tabs"/>
    <s v="Anti-microbial"/>
    <n v="10"/>
    <s v="Ram Agencies"/>
    <x v="0"/>
    <n v="217.5363636363636"/>
    <n v="239.29"/>
    <n v="2437.17"/>
    <n v="21.753636363636389"/>
  </r>
  <r>
    <s v="Clonate F Cream"/>
    <s v="Anti-microbial"/>
    <n v="3"/>
    <s v="Ram Agencies"/>
    <x v="0"/>
    <n v="142.20909090909092"/>
    <n v="156.43"/>
    <n v="477.97"/>
    <n v="14.220909090909089"/>
  </r>
  <r>
    <s v="Bandy Plus Tab"/>
    <s v="Anti-microbial"/>
    <n v="3"/>
    <s v="Ram Agencies"/>
    <x v="0"/>
    <n v="21.981818181818181"/>
    <n v="24.18"/>
    <n v="73.88"/>
    <n v="2.1981818181818191"/>
  </r>
  <r>
    <s v="Bandy Plus Tab"/>
    <s v="Anti-microbial"/>
    <n v="6"/>
    <s v="Ram Agencies"/>
    <x v="0"/>
    <n v="21.981818181818181"/>
    <n v="24.18"/>
    <n v="147.77000000000001"/>
    <n v="2.1981818181818191"/>
  </r>
  <r>
    <s v="Sompraz D Tab"/>
    <s v="Gastro Tabs"/>
    <n v="3"/>
    <s v="Ram Agencies"/>
    <x v="0"/>
    <n v="172.08181818181816"/>
    <n v="189.29"/>
    <n v="578.37"/>
    <n v="17.208181818181828"/>
  </r>
  <r>
    <s v="Azithral 500mg Tab"/>
    <s v="Anti-microbial"/>
    <n v="10"/>
    <s v="Ram Agencies"/>
    <x v="0"/>
    <n v="87.190909090909088"/>
    <n v="95.91"/>
    <n v="976.85"/>
    <n v="8.7190909090909088"/>
  </r>
  <r>
    <s v="Cyra -D Tabs"/>
    <s v="Gastro Tabs"/>
    <n v="10"/>
    <s v="Ram Agencies"/>
    <x v="0"/>
    <n v="33.118181818181817"/>
    <n v="36.43"/>
    <n v="371.03"/>
    <n v="3.3118181818181824"/>
  </r>
  <r>
    <s v="Tazloc Am Tabs"/>
    <s v="Cardiovascular"/>
    <n v="10"/>
    <s v="Ram Agencies"/>
    <x v="0"/>
    <n v="104.13636363636363"/>
    <n v="114.55"/>
    <n v="1166.7"/>
    <n v="10.413636363636371"/>
  </r>
  <r>
    <s v="Mesacol Od Tabs"/>
    <s v="Gastro Tabs"/>
    <n v="1"/>
    <s v="Ram Agencies"/>
    <x v="0"/>
    <n v="375.32727272727271"/>
    <n v="412.86"/>
    <n v="420.49"/>
    <n v="37.5327272727273"/>
  </r>
  <r>
    <s v="Propysalic NF6 Ointment"/>
    <s v="Anti-microbial"/>
    <n v="5"/>
    <s v="Ram Agencies"/>
    <x v="0"/>
    <n v="135.71818181818179"/>
    <n v="149.29"/>
    <n v="760.26"/>
    <n v="13.571818181818202"/>
  </r>
  <r>
    <s v="Concor Cor 2.5 Tabs"/>
    <s v="Cardiovascular"/>
    <n v="3"/>
    <s v="Ram Agencies"/>
    <x v="0"/>
    <n v="61.336363636363629"/>
    <n v="67.47"/>
    <n v="206.16"/>
    <n v="6.13363636363637"/>
  </r>
  <r>
    <s v="Clenz AC Topical Gel"/>
    <s v="Skincare"/>
    <n v="3"/>
    <s v="Ram Agencies"/>
    <x v="0"/>
    <n v="340.90909090909088"/>
    <n v="375"/>
    <n v="1145.81"/>
    <n v="34.090909090909122"/>
  </r>
  <r>
    <s v="Lulifin Cream"/>
    <s v="Anti-microbial"/>
    <n v="2"/>
    <s v="Ram Agencies"/>
    <x v="1"/>
    <n v="194.15454545454543"/>
    <n v="213.57"/>
    <n v="435.05"/>
    <n v="19.415454545454566"/>
  </r>
  <r>
    <s v="Tedi Bar"/>
    <s v="Skincare"/>
    <n v="2"/>
    <s v="Ram Agencies"/>
    <x v="1"/>
    <n v="241.59999999999997"/>
    <n v="265.76"/>
    <n v="608.37"/>
    <n v="24.160000000000025"/>
  </r>
  <r>
    <s v="Aquahance Moisture"/>
    <s v="Skincare"/>
    <n v="2"/>
    <s v="Ram Agencies"/>
    <x v="1"/>
    <n v="169.49090909090907"/>
    <n v="186.44"/>
    <n v="379.77"/>
    <n v="16.949090909090927"/>
  </r>
  <r>
    <s v="Seroflo-250 Inhaler"/>
    <s v="Respiratory"/>
    <n v="1"/>
    <s v="Ram Agencies"/>
    <x v="1"/>
    <n v="633.58181818181822"/>
    <n v="696.94"/>
    <n v="709.83"/>
    <n v="63.358181818181833"/>
  </r>
  <r>
    <s v="RotaHaler"/>
    <s v="Respiratory"/>
    <n v="1"/>
    <s v="Ram Agencies"/>
    <x v="1"/>
    <n v="120.29090909090907"/>
    <n v="132.32"/>
    <n v="134.66"/>
    <n v="12.029090909090925"/>
  </r>
  <r>
    <s v="Dermadew Soap"/>
    <s v="Skincare"/>
    <n v="3"/>
    <s v="Ram Agencies"/>
    <x v="1"/>
    <n v="135.59090909090909"/>
    <n v="149.15"/>
    <n v="455.73"/>
    <n v="13.559090909090912"/>
  </r>
  <r>
    <s v="Dermadew Baby Soap"/>
    <s v="Baby Care"/>
    <n v="2"/>
    <s v="Ram Agencies"/>
    <x v="1"/>
    <n v="154.08181818181816"/>
    <n v="169.49"/>
    <n v="345.25"/>
    <n v="15.408181818181845"/>
  </r>
  <r>
    <s v="Levolin Inhaler"/>
    <s v="Respiratory"/>
    <n v="1"/>
    <s v="Ram Agencies"/>
    <x v="1"/>
    <n v="183.46363636363634"/>
    <n v="201.81"/>
    <n v="205.54"/>
    <n v="18.346363636363662"/>
  </r>
  <r>
    <s v="Rega NP Serum"/>
    <s v="Body Care"/>
    <n v="5"/>
    <s v="RSM Pharma"/>
    <x v="1"/>
    <n v="344.5272727272727"/>
    <n v="378.98"/>
    <n v="2168.89"/>
    <n v="34.452727272727316"/>
  </r>
  <r>
    <s v="Rega NP Serum"/>
    <s v="Body Care"/>
    <n v="5"/>
    <s v="RSM Pharma"/>
    <x v="1"/>
    <n v="344.5272727272727"/>
    <n v="378.98"/>
    <n v="2168.89"/>
    <n v="34.452727272727316"/>
  </r>
  <r>
    <s v="ES Body Wash"/>
    <s v="Skincare"/>
    <n v="2"/>
    <s v="RSM Pharma"/>
    <x v="1"/>
    <n v="345.76363636363629"/>
    <n v="380.34"/>
    <n v="870.68"/>
    <n v="34.576363636363681"/>
  </r>
  <r>
    <s v="Gabapax NT 200MG Tab"/>
    <s v="Pain Relief"/>
    <n v="2"/>
    <s v="RSM Pharma"/>
    <x v="1"/>
    <n v="212.85454545454542"/>
    <n v="234.14"/>
    <n v="476.95"/>
    <n v="21.28545454545457"/>
  </r>
  <r>
    <s v="Cilvoryl MV 2 Tab"/>
    <s v="Diabetes"/>
    <n v="4"/>
    <s v="RSM Pharma"/>
    <x v="1"/>
    <n v="198.29090909090908"/>
    <n v="218.12"/>
    <n v="888.63"/>
    <n v="19.829090909090922"/>
  </r>
  <r>
    <s v="Budamate 200 Transcaps"/>
    <s v="Respiratory"/>
    <n v="2"/>
    <s v="RSM Pharma"/>
    <x v="1"/>
    <n v="126.91818181818182"/>
    <n v="139.61000000000001"/>
    <n v="284.38"/>
    <n v="12.691818181818192"/>
  </r>
  <r>
    <s v="Rablet 20MG Tab 15'S"/>
    <s v="Gastro Tabs"/>
    <n v="1"/>
    <s v="RSM Pharma"/>
    <x v="1"/>
    <n v="135.58181818181816"/>
    <n v="149.13999999999999"/>
    <n v="151.91"/>
    <n v="13.558181818181822"/>
  </r>
  <r>
    <s v="Acne UV Gel"/>
    <s v="Sunscreen"/>
    <n v="1"/>
    <s v="RSM Pharma"/>
    <x v="1"/>
    <n v="600.92727272727268"/>
    <n v="661.02"/>
    <n v="756.61"/>
    <n v="60.092727272727302"/>
  </r>
  <r>
    <s v="Minoz Gel "/>
    <s v="Skincare"/>
    <n v="3"/>
    <s v="RSM Pharma"/>
    <x v="1"/>
    <n v="275.97272727272724"/>
    <n v="303.57"/>
    <n v="927.55"/>
    <n v="27.597272727272752"/>
  </r>
  <r>
    <s v="Suncros Matt Finish Soft Gel"/>
    <s v="Sunscreen"/>
    <n v="1"/>
    <s v="RSM Pharma"/>
    <x v="1"/>
    <n v="511.55454545454546"/>
    <n v="562.71"/>
    <n v="644.07000000000005"/>
    <n v="51.155454545454575"/>
  </r>
  <r>
    <s v="Allgiduo SUS"/>
    <s v="Cold/Cough"/>
    <n v="1"/>
    <s v="RSM Pharma"/>
    <x v="1"/>
    <n v="121.32727272727273"/>
    <n v="133.46"/>
    <n v="135.94"/>
    <n v="12.13272727272728"/>
  </r>
  <r>
    <s v="Tarich Lotion"/>
    <s v="Skincare"/>
    <n v="2"/>
    <s v="RSM Pharma"/>
    <x v="1"/>
    <n v="418.83636363636361"/>
    <n v="460.72"/>
    <n v="938.5"/>
    <n v="41.883636363636413"/>
  </r>
  <r>
    <s v="LA Shield Max Sunscreen Lotion"/>
    <s v="Sunscreen"/>
    <n v="1"/>
    <s v="RSM Pharma"/>
    <x v="1"/>
    <n v="563.94545454545448"/>
    <n v="620.34"/>
    <n v="710.05"/>
    <n v="56.39454545454555"/>
  </r>
  <r>
    <s v="Hydronic Lip Serum"/>
    <s v="Skincare"/>
    <n v="2"/>
    <s v="RSM Pharma"/>
    <x v="1"/>
    <n v="159.62727272727273"/>
    <n v="175.59"/>
    <n v="357.68"/>
    <n v="15.962727272727278"/>
  </r>
  <r>
    <s v="Orofer XT Lab"/>
    <s v="Vitamins/Minerals"/>
    <n v="3"/>
    <s v="RSM Pharma"/>
    <x v="1"/>
    <n v="220.13636363636363"/>
    <n v="242.15"/>
    <n v="739.9"/>
    <n v="22.01363636363638"/>
  </r>
  <r>
    <s v="Cilacar 5MG Tab"/>
    <s v="Cardiovascular"/>
    <n v="4"/>
    <s v="RSM Pharma"/>
    <x v="1"/>
    <n v="91.554545454545448"/>
    <n v="100.71"/>
    <n v="512.86"/>
    <n v="9.1554545454545462"/>
  </r>
  <r>
    <s v="Sitara 50MG Tab"/>
    <s v="Anti-microbial"/>
    <n v="5"/>
    <s v="RSM Pharma"/>
    <x v="1"/>
    <n v="70.618181818181824"/>
    <n v="77.680000000000007"/>
    <n v="237.35"/>
    <n v="7.0618181818181824"/>
  </r>
  <r>
    <s v="Calpsor C Oint"/>
    <s v="Anti-microbial"/>
    <n v="3"/>
    <s v="RSM Pharma"/>
    <x v="1"/>
    <n v="462.85454545454542"/>
    <n v="509.14"/>
    <n v="1555.68"/>
    <n v="46.28545454545457"/>
  </r>
  <r>
    <s v="Imol Plus Tab"/>
    <s v="Pain Relief"/>
    <n v="20"/>
    <s v="RSM Pharma"/>
    <x v="1"/>
    <n v="15.390909090909089"/>
    <n v="16.93"/>
    <n v="344.86"/>
    <n v="1.5390909090909108"/>
  </r>
  <r>
    <s v="Deplatta A 150 Tab 15'S"/>
    <s v="Cardiovascular"/>
    <n v="2"/>
    <s v="RSM Pharma"/>
    <x v="1"/>
    <n v="70.845454545454544"/>
    <n v="77.930000000000007"/>
    <n v="158.74"/>
    <n v="7.0845454545454629"/>
  </r>
  <r>
    <s v="Aztor 10MG Tab 15'S"/>
    <s v="Cardiovascular"/>
    <n v="2"/>
    <s v="RSM Pharma"/>
    <x v="1"/>
    <n v="55.154545454545449"/>
    <n v="60.67"/>
    <n v="123.58"/>
    <n v="5.5154545454545527"/>
  </r>
  <r>
    <s v="Huminsulin (R) 40IU"/>
    <s v="Diabetes"/>
    <n v="1"/>
    <s v="RSM Pharma"/>
    <x v="1"/>
    <n v="126.54545454545452"/>
    <n v="139.19999999999999"/>
    <n v="143.24"/>
    <n v="12.65454545454547"/>
  </r>
  <r>
    <s v="Lacto Calamine (ALOE 115ml)"/>
    <s v="Skincare"/>
    <n v="1"/>
    <s v="Mahaveer Medi Sales"/>
    <x v="1"/>
    <n v="178.28181818181818"/>
    <n v="196.11"/>
    <n v="231.41"/>
    <n v="17.828181818181832"/>
  </r>
  <r>
    <s v="Azee 500 Tabs "/>
    <s v="Anti-microbial"/>
    <n v="6"/>
    <s v="Mahaveer Medi Sales"/>
    <x v="1"/>
    <n v="87.190909090909088"/>
    <n v="95.91"/>
    <n v="488.42"/>
    <n v="8.7190909090909088"/>
  </r>
  <r>
    <s v="Lacto Calamine (ALOE -55ml)"/>
    <s v="Skincare"/>
    <n v="1"/>
    <s v="Mahaveer Medi Sales"/>
    <x v="2"/>
    <n v="102.84545454545453"/>
    <n v="113.13"/>
    <n v="133.49"/>
    <n v="10.284545454545466"/>
  </r>
  <r>
    <s v="BuscoGast Tab"/>
    <s v="Gastro Tabs"/>
    <n v="5"/>
    <s v="Mahaveer Medi Sales"/>
    <x v="2"/>
    <n v="30.272727272727266"/>
    <n v="33.299999999999997"/>
    <n v="169.58"/>
    <n v="3.0272727272727309"/>
  </r>
  <r>
    <s v="Sebum Clear N Gel"/>
    <s v="Skincare"/>
    <n v="5"/>
    <s v="Mahaveer Medi Sales"/>
    <x v="2"/>
    <n v="220.78181818181818"/>
    <n v="242.86"/>
    <n v="1236.77"/>
    <n v="22.078181818181832"/>
  </r>
  <r>
    <s v="Clincitop Gel"/>
    <s v="Skincare"/>
    <n v="1"/>
    <s v="Mahaveer Medi Sales"/>
    <x v="2"/>
    <n v="25.227272727272727"/>
    <n v="27.75"/>
    <n v="29.13"/>
    <n v="2.5227272727272734"/>
  </r>
  <r>
    <s v="Sebamed Baby Cream Extra "/>
    <s v="Baby Care"/>
    <n v="2"/>
    <s v="Mahaveer Medi Sales"/>
    <x v="2"/>
    <n v="173.34545454545454"/>
    <n v="190.68"/>
    <n v="450"/>
    <n v="17.334545454545463"/>
  </r>
  <r>
    <s v="Zocon-200 mg Tab©"/>
    <s v="Anti-microbial"/>
    <n v="5"/>
    <s v="Mahaveer Medi Sales"/>
    <x v="2"/>
    <n v="51.663636363636357"/>
    <n v="56.83"/>
    <n v="289.41000000000003"/>
    <n v="5.1663636363636414"/>
  </r>
  <r>
    <s v="Hycort Cream"/>
    <s v="Anti-microbial"/>
    <n v="10"/>
    <s v="Avenues Pharma "/>
    <x v="2"/>
    <n v="119.09999999999998"/>
    <n v="131.01"/>
    <n v="1334.34"/>
    <n v="11.910000000000011"/>
  </r>
  <r>
    <s v="C-Facewash"/>
    <s v="Skincare"/>
    <n v="12"/>
    <s v="Cosmonova Medicare "/>
    <x v="2"/>
    <n v="246.5363636363636"/>
    <n v="271.19"/>
    <n v="3200"/>
    <n v="24.653636363636394"/>
  </r>
  <r>
    <s v="Minfin NX 5% "/>
    <s v="Body Care"/>
    <n v="5"/>
    <s v="Medline Distributors"/>
    <x v="2"/>
    <n v="616.88181818181818"/>
    <n v="678.57"/>
    <n v="3455.62"/>
    <n v="61.688181818181874"/>
  </r>
  <r>
    <s v="Minfin MAXX 5%"/>
    <s v="Body Care"/>
    <n v="5"/>
    <s v="Medline Distributors"/>
    <x v="2"/>
    <n v="603.24545454545455"/>
    <n v="663.57"/>
    <n v="3379.23"/>
    <n v="60.3245454545455"/>
  </r>
  <r>
    <s v="Castor NF Cream "/>
    <s v="Skincare"/>
    <n v="1"/>
    <s v="Mahaveer Medi Sales"/>
    <x v="2"/>
    <n v="32.727272727272727"/>
    <n v="36"/>
    <n v="37.799999999999997"/>
    <n v="3.2727272727272734"/>
  </r>
  <r>
    <s v="Depiwhite eye gel"/>
    <s v="Skincare"/>
    <n v="1"/>
    <s v="Mahaveer Medi Sales"/>
    <x v="2"/>
    <n v="459.78181818181815"/>
    <n v="505.76"/>
    <n v="578.89"/>
    <n v="45.978181818181838"/>
  </r>
  <r>
    <s v="Lacto Calamine Oily Skin"/>
    <s v="Skincare"/>
    <n v="1"/>
    <s v="Mahaveer Medi Sales"/>
    <x v="2"/>
    <n v="178.28181818181818"/>
    <n v="196.11"/>
    <n v="231.41"/>
    <n v="17.828181818181832"/>
  </r>
  <r>
    <s v="Hairtamin Cap"/>
    <s v="Vitamins/Minerals"/>
    <n v="1"/>
    <s v="Mahaveer Medi Sales"/>
    <x v="2"/>
    <n v="154.08181818181816"/>
    <n v="169.49"/>
    <n v="172.63"/>
    <n v="15.408181818181845"/>
  </r>
  <r>
    <s v="Hairtamin Cap"/>
    <s v="Vitamins/Minerals"/>
    <n v="1"/>
    <s v="Mahaveer Medi Sales"/>
    <x v="2"/>
    <n v="154.08181818181816"/>
    <n v="169.49"/>
    <n v="172.63"/>
    <n v="15.408181818181845"/>
  </r>
  <r>
    <s v="Momentsone Cream"/>
    <s v="Anti-microbial"/>
    <n v="3"/>
    <s v="RSM Pharma"/>
    <x v="2"/>
    <n v="238"/>
    <n v="261.8"/>
    <n v="799.94"/>
    <n v="23.800000000000011"/>
  </r>
  <r>
    <s v="Pantocid IT Caps"/>
    <s v="Gastro Tabs"/>
    <n v="2"/>
    <s v="RSM Pharma"/>
    <x v="2"/>
    <n v="238.96363636363637"/>
    <n v="262.86"/>
    <n v="535.45000000000005"/>
    <n v="23.896363636363645"/>
  </r>
  <r>
    <s v="Hhomega + Cap"/>
    <s v="Vitamins/Minerals"/>
    <n v="6"/>
    <s v="RSM Pharma"/>
    <x v="2"/>
    <n v="141.76363636363635"/>
    <n v="155.94"/>
    <n v="952.95"/>
    <n v="14.176363636363646"/>
  </r>
  <r>
    <s v="Stolin R Active Toothpaste"/>
    <s v="Body Care"/>
    <n v="1"/>
    <s v="RSM Pharma"/>
    <x v="2"/>
    <n v="160.24545454545455"/>
    <n v="176.27"/>
    <n v="179.52"/>
    <n v="16.024545454545461"/>
  </r>
  <r>
    <s v="Olmesar Ch 20MG Tab"/>
    <s v="Cardiovascular"/>
    <n v="2"/>
    <s v="RSM Pharma"/>
    <x v="2"/>
    <n v="147.85454545454542"/>
    <n v="162.63999999999999"/>
    <n v="331.3"/>
    <n v="14.78545454545457"/>
  </r>
  <r>
    <s v="Darolac Syrup"/>
    <s v="Gastro Tabs"/>
    <n v="1"/>
    <s v="RSM Pharma"/>
    <x v="2"/>
    <n v="129.43636363636361"/>
    <n v="142.38"/>
    <n v="145.01"/>
    <n v="12.943636363636386"/>
  </r>
  <r>
    <s v="Aten D Tab"/>
    <s v="Cardiovascular"/>
    <n v="1"/>
    <s v="RSM Pharma"/>
    <x v="2"/>
    <n v="93.818181818181813"/>
    <n v="103.2"/>
    <n v="105.1"/>
    <n v="9.3818181818181898"/>
  </r>
  <r>
    <s v="Concovas 2.5MG Tab"/>
    <s v="Cardiovascular"/>
    <n v="3"/>
    <s v="RSM Pharma"/>
    <x v="2"/>
    <n v="52.009090909090908"/>
    <n v="57.21"/>
    <n v="174.8"/>
    <n v="5.2009090909090929"/>
  </r>
  <r>
    <s v="Asthalin R/Caps"/>
    <s v="Respiratory"/>
    <n v="10"/>
    <s v="RSM Pharma"/>
    <x v="2"/>
    <n v="45.199999999999996"/>
    <n v="49.72"/>
    <n v="506.4"/>
    <n v="4.5200000000000031"/>
  </r>
  <r>
    <s v="Dermadew Glow Cream"/>
    <s v="Skincare"/>
    <n v="1"/>
    <s v="RSM Pharma"/>
    <x v="2"/>
    <n v="218.79999999999998"/>
    <n v="240.68"/>
    <n v="274.48"/>
    <n v="21.880000000000024"/>
  </r>
  <r>
    <s v="Siloderm Mixi Cream"/>
    <s v="Skincare"/>
    <n v="1"/>
    <s v="RSM Pharma"/>
    <x v="2"/>
    <n v="62.072727272727271"/>
    <n v="68.28"/>
    <n v="69.55"/>
    <n v="6.2072727272727306"/>
  </r>
  <r>
    <s v="Nilac Gel"/>
    <s v="Skincare"/>
    <n v="2"/>
    <s v="RSM Pharma"/>
    <x v="2"/>
    <n v="127.91818181818182"/>
    <n v="140.71"/>
    <n v="286.62"/>
    <n v="12.791818181818186"/>
  </r>
  <r>
    <s v="Rosuvas EZ 10MG"/>
    <s v="Cardiovascular"/>
    <n v="3"/>
    <s v="RSM Pharma"/>
    <x v="2"/>
    <n v="281"/>
    <n v="309.10000000000002"/>
    <n v="944.46"/>
    <n v="28.100000000000023"/>
  </r>
  <r>
    <s v="Atorva 10MG Tab 15'S"/>
    <s v="Cardiovascular"/>
    <n v="2"/>
    <s v="RSM Pharma"/>
    <x v="2"/>
    <n v="55.154545454545449"/>
    <n v="60.67"/>
    <n v="123.58"/>
    <n v="5.5154545454545527"/>
  </r>
  <r>
    <s v="Limcee 500MG Tab"/>
    <s v="Vitamins/Minerals"/>
    <n v="20"/>
    <s v="RSM Pharma"/>
    <x v="2"/>
    <n v="17.09090909090909"/>
    <n v="18.8"/>
    <n v="382.96"/>
    <n v="1.7090909090909108"/>
  </r>
  <r>
    <s v="Thyronorm 125MG Tab 120's"/>
    <s v="Vitamins/Minerals"/>
    <n v="1"/>
    <s v="RSM Pharma"/>
    <x v="2"/>
    <n v="150.05454545454543"/>
    <n v="165.06"/>
    <n v="168.11"/>
    <n v="15.005454545454569"/>
  </r>
  <r>
    <s v="Beplex Forte Tab"/>
    <s v="Vitamins/Minerals"/>
    <n v="12"/>
    <s v="Mahaveer Medi Sales"/>
    <x v="3"/>
    <n v="36.918181818181814"/>
    <n v="40.61"/>
    <n v="496.34"/>
    <n v="3.691818181818185"/>
  </r>
  <r>
    <s v="Orofer XT Lab"/>
    <s v="Vitamins/Minerals"/>
    <n v="1"/>
    <s v="Mahaveer Medi Sales"/>
    <x v="3"/>
    <n v="177.93636363636361"/>
    <n v="195.73"/>
    <n v="199.36"/>
    <n v="17.793636363636381"/>
  </r>
  <r>
    <s v="Acceclowoc SP Tab"/>
    <s v="Pain Relief"/>
    <n v="19"/>
    <s v="Mahaveer Medi Sales"/>
    <x v="3"/>
    <n v="16.681818181818183"/>
    <n v="18.350000000000001"/>
    <n v="366.09"/>
    <n v="1.668181818181818"/>
  </r>
  <r>
    <s v="Lecmon-AX Tab"/>
    <s v="Anti-microbial"/>
    <n v="3"/>
    <s v="RSM Pharma"/>
    <x v="3"/>
    <n v="72.545454545454533"/>
    <n v="79.8"/>
    <n v="243.84"/>
    <n v="7.2545454545454646"/>
  </r>
  <r>
    <s v="Cuticlair Ceramide Cream"/>
    <s v="Skincare"/>
    <n v="1"/>
    <s v="RSM Pharma"/>
    <x v="3"/>
    <n v="475.22727272727269"/>
    <n v="522.75"/>
    <n v="532.42999999999995"/>
    <n v="47.522727272727309"/>
  </r>
  <r>
    <s v="Starpress XL 50MG Tab 15'S"/>
    <s v="Cardiovascular"/>
    <n v="2"/>
    <s v="RSM Pharma"/>
    <x v="3"/>
    <n v="64.772727272727266"/>
    <n v="71.25"/>
    <n v="145.15"/>
    <n v="6.4772727272727337"/>
  </r>
  <r>
    <s v="Nervijen P Cap's 15'S"/>
    <s v="Pain Relief"/>
    <n v="6"/>
    <s v="RSM Pharma"/>
    <x v="3"/>
    <n v="267.0454545454545"/>
    <n v="293.75"/>
    <n v="1795.11"/>
    <n v="26.704545454545496"/>
  </r>
  <r>
    <s v="Olesoft Max Lotion"/>
    <s v="Skincare"/>
    <n v="1"/>
    <s v="Ram Agencies"/>
    <x v="3"/>
    <n v="383.09999999999997"/>
    <n v="421.41"/>
    <n v="429.21"/>
    <n v="38.310000000000059"/>
  </r>
  <r>
    <s v="Aquahance Moisture"/>
    <s v="Skincare"/>
    <n v="5"/>
    <s v="Ram Agencies"/>
    <x v="3"/>
    <n v="169.49090909090907"/>
    <n v="186.44"/>
    <n v="949.45"/>
    <n v="16.949090909090927"/>
  </r>
  <r>
    <s v="Gentle Baby Wipes(72)"/>
    <s v="Baby Care"/>
    <n v="1"/>
    <s v="Ram Agencies"/>
    <x v="3"/>
    <n v="175.38181818181815"/>
    <n v="192.92"/>
    <n v="223.1"/>
    <n v="17.53818181818184"/>
  </r>
  <r>
    <s v="Kera XL Hair Growth"/>
    <s v="Body Care"/>
    <n v="2"/>
    <s v="Ram Agencies"/>
    <x v="3"/>
    <n v="857.93636363636358"/>
    <n v="943.73"/>
    <n v="2160.4"/>
    <n v="85.793636363636438"/>
  </r>
  <r>
    <s v="Gentle Baby Wipes(72)"/>
    <s v="Baby Care"/>
    <n v="1"/>
    <s v="Ram Agencies"/>
    <x v="3"/>
    <n v="53.245454545454542"/>
    <n v="58.57"/>
    <n v="67.739999999999995"/>
    <n v="5.3245454545454578"/>
  </r>
  <r>
    <s v="Lactihep Plus Syrup"/>
    <s v="Gastro Tabs"/>
    <n v="1"/>
    <s v="Ram Agencies"/>
    <x v="3"/>
    <n v="202.6"/>
    <n v="222.86"/>
    <n v="226.97"/>
    <n v="20.260000000000019"/>
  </r>
  <r>
    <s v="Mobizox Tab"/>
    <s v="Pain Relief"/>
    <n v="1"/>
    <s v="Ram Agencies"/>
    <x v="3"/>
    <n v="181.81818181818181"/>
    <n v="200"/>
    <n v="203.7"/>
    <n v="18.181818181818187"/>
  </r>
  <r>
    <s v="Eltroxin 100MG Tabs"/>
    <s v="Vitamins/Minerals"/>
    <n v="1"/>
    <s v="Ram Agencies"/>
    <x v="3"/>
    <n v="116.94545454545452"/>
    <n v="128.63999999999999"/>
    <n v="131.02000000000001"/>
    <n v="11.694545454545462"/>
  </r>
  <r>
    <s v="Eumosone Cream"/>
    <s v="Anti-microbial"/>
    <n v="1"/>
    <s v="Ram Agencies"/>
    <x v="3"/>
    <n v="79.218181818181819"/>
    <n v="87.14"/>
    <n v="88.75"/>
    <n v="7.9218181818181819"/>
  </r>
  <r>
    <s v="Bilatis 20MG Tabs"/>
    <s v="Anti-microbial"/>
    <n v="10"/>
    <s v="Ram Agencies"/>
    <x v="4"/>
    <n v="85.718181818181819"/>
    <n v="94.29"/>
    <n v="960.35"/>
    <n v="8.5718181818181876"/>
  </r>
  <r>
    <s v="Ibugesic Plus Syp "/>
    <s v="Pain Relief"/>
    <n v="9"/>
    <s v="Ram Agencies"/>
    <x v="4"/>
    <n v="39.218181818181819"/>
    <n v="43.14"/>
    <n v="395.45"/>
    <n v="3.9218181818181819"/>
  </r>
  <r>
    <s v="Ecosprin AV 150/20 Caps"/>
    <s v="Cardiovascular"/>
    <n v="3"/>
    <s v="Ram Agencies"/>
    <x v="4"/>
    <n v="35.627272727272725"/>
    <n v="39.19"/>
    <n v="120.98"/>
    <n v="3.5627272727272725"/>
  </r>
  <r>
    <s v="Betadine Ointment 10%"/>
    <s v="First Aid"/>
    <n v="1"/>
    <s v="Avenues Pharma "/>
    <x v="4"/>
    <n v="95.609090909090909"/>
    <n v="105.17"/>
    <n v="108.23"/>
    <n v="9.5609090909090924"/>
  </r>
  <r>
    <s v="Hhfexo 180 Tabs"/>
    <s v="Anti-microbial"/>
    <n v="10"/>
    <s v="Avenues Pharma "/>
    <x v="4"/>
    <n v="120.12727272727271"/>
    <n v="132.13999999999999"/>
    <n v="1345.84"/>
    <n v="12.012727272727275"/>
  </r>
  <r>
    <s v="Atogla Moiturizing"/>
    <s v="Skincare"/>
    <n v="1"/>
    <s v="Mahaveer Medi Sales"/>
    <x v="4"/>
    <n v="239.75454545454545"/>
    <n v="263.73"/>
    <n v="301.86"/>
    <n v="23.975454545454568"/>
  </r>
  <r>
    <s v="Amlovas L Tab"/>
    <s v="Cardiovascular"/>
    <n v="4"/>
    <s v="Mahaveer Medi Sales"/>
    <x v="4"/>
    <n v="138.40909090909091"/>
    <n v="152.25"/>
    <n v="620.27"/>
    <n v="13.840909090909093"/>
  </r>
  <r>
    <s v="Lupidip 2.5MG Tab"/>
    <s v="Cardiovascular"/>
    <n v="4"/>
    <s v="Mahaveer Medi Sales"/>
    <x v="4"/>
    <n v="13.218181818181817"/>
    <n v="14.54"/>
    <n v="59.24"/>
    <n v="1.3218181818181822"/>
  </r>
  <r>
    <s v="Hifenac MR Tab"/>
    <s v="Pain Relief"/>
    <n v="2"/>
    <s v="Mahaveer Medi Sales"/>
    <x v="4"/>
    <n v="72.72727272727272"/>
    <n v="80"/>
    <n v="162.96"/>
    <n v="7.2727272727272805"/>
  </r>
  <r>
    <s v="COF Q DX Tab"/>
    <s v="Cold/Cough"/>
    <n v="10"/>
    <s v="Mahaveer Medi Sales"/>
    <x v="4"/>
    <n v="11.918181818181816"/>
    <n v="13.11"/>
    <n v="137.66"/>
    <n v="1.1918181818181832"/>
  </r>
  <r>
    <s v="Okacet Tab ©"/>
    <s v="Anti-microbial"/>
    <n v="133"/>
    <s v="Mahaveer Medi Sales"/>
    <x v="4"/>
    <n v="4.545454545454545"/>
    <n v="5"/>
    <n v="698.26"/>
    <n v="0.45454545454545503"/>
  </r>
  <r>
    <s v="Nicip Plus Tab"/>
    <s v="Pain Relief"/>
    <n v="38"/>
    <s v="Mahaveer Medi Sales"/>
    <x v="4"/>
    <n v="10.909090909090908"/>
    <n v="12"/>
    <n v="478.8"/>
    <n v="1.0909090909090917"/>
  </r>
  <r>
    <s v="Pantosec DSR Caps"/>
    <s v="Gastro Tabs"/>
    <n v="38"/>
    <s v="Mahaveer Medi Sales"/>
    <x v="4"/>
    <n v="38.636363636363633"/>
    <n v="42.5"/>
    <n v="1695.76"/>
    <n v="3.8636363636363669"/>
  </r>
  <r>
    <s v="KZ Plus Medicated Soap"/>
    <s v="Anti-microbial"/>
    <n v="5"/>
    <s v="Mahaveer Medi Sales"/>
    <x v="4"/>
    <n v="122.03636363636363"/>
    <n v="134.24"/>
    <n v="683.62"/>
    <n v="12.203636363636377"/>
  </r>
  <r>
    <s v="Dazit 10MG Tab"/>
    <s v="Anti-microbial"/>
    <n v="2"/>
    <s v="Mahaveer Medi Sales"/>
    <x v="5"/>
    <n v="182.46363636363637"/>
    <n v="200.71"/>
    <n v="408.84"/>
    <n v="18.24636363636364"/>
  </r>
  <r>
    <s v="Softovac 250GM"/>
    <s v="Gastro Tabs"/>
    <n v="1"/>
    <s v="Mahaveer Medi Sales"/>
    <x v="5"/>
    <n v="308.44545454545454"/>
    <n v="339.29"/>
    <n v="345.57"/>
    <n v="30.844545454545482"/>
  </r>
  <r>
    <s v="Picon Cream 10gm"/>
    <s v="Anti-microbial"/>
    <n v="1"/>
    <s v="Mahaveer Medi Sales"/>
    <x v="5"/>
    <n v="457.85454545454542"/>
    <n v="503.64"/>
    <n v="512.95000000000005"/>
    <n v="45.78545454545457"/>
  </r>
  <r>
    <s v="Ketokem Soap 75gm"/>
    <s v="Anti-microbial"/>
    <n v="1"/>
    <s v="Mahaveer Medi Sales"/>
    <x v="5"/>
    <n v="47.063636363636363"/>
    <n v="51.77"/>
    <n v="54.35"/>
    <n v="4.7063636363636405"/>
  </r>
  <r>
    <s v="Tyza M Cream"/>
    <s v="Anti-microbial"/>
    <n v="5"/>
    <s v="Mahaveer Medi Sales"/>
    <x v="5"/>
    <n v="86.75454545454545"/>
    <n v="95.43"/>
    <n v="485.98"/>
    <n v="8.6754545454545564"/>
  </r>
  <r>
    <s v="Lodoz 5GM Tabs"/>
    <s v="Cardiovascular"/>
    <n v="3"/>
    <s v="Mahaveer Medi Sales"/>
    <x v="5"/>
    <n v="111.99090909090908"/>
    <n v="123.19"/>
    <n v="376.4"/>
    <n v="11.199090909090913"/>
  </r>
  <r>
    <s v="Ecosprin AV 150/20 Caps"/>
    <s v="Cardiovascular"/>
    <n v="2"/>
    <s v="Mahaveer Medi Sales"/>
    <x v="5"/>
    <n v="132.68181818181816"/>
    <n v="145.94999999999999"/>
    <n v="300.36"/>
    <n v="13.26818181818183"/>
  </r>
  <r>
    <s v="Levigress 500MG Tab 15'S"/>
    <s v="Pain Relief"/>
    <n v="4"/>
    <s v="Mahaveer Medi Sales"/>
    <x v="5"/>
    <n v="145.22727272727272"/>
    <n v="159.75"/>
    <n v="657.54"/>
    <n v="14.52272727272728"/>
  </r>
  <r>
    <s v="Levolin 0.63 Respules"/>
    <s v="Respiratory"/>
    <n v="30"/>
    <s v="Mahaveer Medi Sales"/>
    <x v="5"/>
    <n v="5.1090909090909085"/>
    <n v="5.62"/>
    <n v="171.72"/>
    <n v="0.51090909090909165"/>
  </r>
  <r>
    <s v="Optineruon INJ"/>
    <s v="Vitamins/Minerals"/>
    <n v="2"/>
    <s v="Mahaveer Medi Sales"/>
    <x v="5"/>
    <n v="90.272727272727266"/>
    <n v="99.3"/>
    <n v="202.28"/>
    <n v="9.0272727272727309"/>
  </r>
  <r>
    <s v="EBAL 20"/>
    <s v="Body Care"/>
    <n v="2"/>
    <s v="Mahaveer Medi Sales"/>
    <x v="5"/>
    <n v="74.345454545454544"/>
    <n v="81.78"/>
    <n v="138.83000000000001"/>
    <n v="7.4345454545454572"/>
  </r>
  <r>
    <s v="Minopep Gold "/>
    <s v="Body Care"/>
    <n v="1"/>
    <s v="RSM Pharma"/>
    <x v="5"/>
    <n v="766.23636363636354"/>
    <n v="842.86"/>
    <n v="858.45"/>
    <n v="76.623636363636479"/>
  </r>
  <r>
    <s v="Sugaflo MV Tab"/>
    <s v="Diabetes"/>
    <n v="1"/>
    <s v="RSM Pharma"/>
    <x v="5"/>
    <n v="185.07272727272726"/>
    <n v="203.58"/>
    <n v="207.35"/>
    <n v="18.507272727272749"/>
  </r>
  <r>
    <s v="Flawlizo Micro 0.04% Gel"/>
    <s v="Skincare"/>
    <n v="2"/>
    <s v="RSM Pharma"/>
    <x v="5"/>
    <n v="97.399999999999991"/>
    <n v="107.14"/>
    <n v="421.95"/>
    <n v="9.7400000000000091"/>
  </r>
  <r>
    <s v="Flawlizo Micro 0.1% Gel"/>
    <s v="Skincare"/>
    <n v="1"/>
    <s v="RSM Pharma"/>
    <x v="5"/>
    <n v="253.24545454545452"/>
    <n v="278.57"/>
    <n v="283.73"/>
    <n v="25.324545454545472"/>
  </r>
  <r>
    <s v="Stator 20MG Tab"/>
    <s v="Cardiovascular"/>
    <n v="2"/>
    <s v="RSM Pharma"/>
    <x v="5"/>
    <n v="139.37272727272727"/>
    <n v="153.31"/>
    <n v="312.3"/>
    <n v="13.937272727272727"/>
  </r>
  <r>
    <s v="Flawlizo Micro 0.04% Gel"/>
    <s v="Skincare"/>
    <n v="1"/>
    <s v="RSM Pharma"/>
    <x v="5"/>
    <n v="383.09999999999997"/>
    <n v="421.41"/>
    <n v="429.21"/>
    <n v="38.310000000000059"/>
  </r>
  <r>
    <s v="Brilante Max Serum "/>
    <s v="Skincare"/>
    <n v="10"/>
    <s v="RSM Pharma"/>
    <x v="5"/>
    <n v="393.83636363636361"/>
    <n v="433.22"/>
    <n v="4412.3500000000004"/>
    <n v="39.383636363636413"/>
  </r>
  <r>
    <s v="ORSL Apple Rehydrate Drink"/>
    <s v="Vitamins/Minerals"/>
    <n v="5"/>
    <s v="RSM Pharma"/>
    <x v="5"/>
    <n v="32.418181818181814"/>
    <n v="35.659999999999997"/>
    <n v="181.59"/>
    <n v="3.2418181818181822"/>
  </r>
  <r>
    <s v="Tonoferon Paed Syrup"/>
    <s v="Vitamins/Minerals"/>
    <n v="1"/>
    <s v="RSM Pharma"/>
    <x v="5"/>
    <n v="87.663636363636357"/>
    <n v="96.43"/>
    <n v="98.22"/>
    <n v="8.7663636363636499"/>
  </r>
  <r>
    <s v="Zincovit CL Syrup"/>
    <s v="Vitamins/Minerals"/>
    <n v="1"/>
    <s v="RSM Pharma"/>
    <x v="5"/>
    <n v="110.93636363636362"/>
    <n v="122.03"/>
    <n v="124.29"/>
    <n v="11.093636363636378"/>
  </r>
  <r>
    <s v="Telmiduce CL Tab"/>
    <s v="Cardiovascular"/>
    <n v="2"/>
    <s v="Ram Agencies"/>
    <x v="5"/>
    <n v="86.354545454545445"/>
    <n v="94.99"/>
    <n v="193.5"/>
    <n v="8.6354545454545502"/>
  </r>
  <r>
    <s v="Amrfy Cream"/>
    <s v="Skincare"/>
    <n v="3"/>
    <s v="Ram Agencies"/>
    <x v="5"/>
    <n v="259.09090909090907"/>
    <n v="285"/>
    <n v="870.81"/>
    <n v="25.909090909090935"/>
  </r>
  <r>
    <s v="Repace H Tab"/>
    <s v="Cardiovascular"/>
    <n v="3"/>
    <s v="Ram Agencies"/>
    <x v="5"/>
    <n v="120.78181818181818"/>
    <n v="132.86000000000001"/>
    <n v="405.96"/>
    <n v="12.078181818181832"/>
  </r>
  <r>
    <s v="Scarend Silicone Gel"/>
    <s v="Skincare"/>
    <n v="1"/>
    <s v="Ram Agencies"/>
    <x v="5"/>
    <n v="425.27272727272725"/>
    <n v="467.8"/>
    <n v="535.45000000000005"/>
    <n v="42.527272727272759"/>
  </r>
  <r>
    <s v="Ocurest AH  Eye Drops"/>
    <s v="Body Care"/>
    <n v="1"/>
    <s v="Ram Agencies"/>
    <x v="5"/>
    <n v="75.472727272727269"/>
    <n v="83.02"/>
    <n v="84.55"/>
    <n v="7.5472727272727269"/>
  </r>
  <r>
    <s v="Nurokind Gold RF Caps"/>
    <s v="Pain Relief"/>
    <n v="1"/>
    <s v="Ram Agencies"/>
    <x v="5"/>
    <n v="67.709090909090904"/>
    <n v="74.48"/>
    <n v="75.87"/>
    <n v="6.7709090909091003"/>
  </r>
  <r>
    <s v="Candid Cream"/>
    <s v="Anti-microbial"/>
    <n v="6"/>
    <s v="Ram Agencies"/>
    <x v="5"/>
    <n v="65.454545454545453"/>
    <n v="72"/>
    <n v="403.32"/>
    <n v="6.5454545454545467"/>
  </r>
  <r>
    <s v="Patchex Tab"/>
    <s v="Anti-microbial"/>
    <n v="1"/>
    <s v="Ram Agencies"/>
    <x v="5"/>
    <n v="268.10909090909092"/>
    <n v="294.92"/>
    <n v="300.32"/>
    <n v="26.810909090909092"/>
  </r>
  <r>
    <s v="Patchex Tab"/>
    <s v="Anti-microbial"/>
    <n v="1"/>
    <s v="Ram Agencies"/>
    <x v="5"/>
    <n v="268.05454545454546"/>
    <n v="294.86"/>
    <n v="300.32"/>
    <n v="26.805454545454552"/>
  </r>
  <r>
    <s v="Renerve Plus Caps"/>
    <s v="Pain Relief"/>
    <n v="1"/>
    <s v="Ram Agencies"/>
    <x v="5"/>
    <n v="207.55454545454543"/>
    <n v="228.31"/>
    <n v="232.54"/>
    <n v="20.755454545454569"/>
  </r>
  <r>
    <s v="Vantej Aqua Mouthwash"/>
    <s v="Body Care"/>
    <n v="1"/>
    <s v="Ram Agencies"/>
    <x v="5"/>
    <n v="111.86363636363635"/>
    <n v="123.05"/>
    <n v="140.84"/>
    <n v="11.186363636363652"/>
  </r>
  <r>
    <s v="Pan D Capsules"/>
    <s v="Gastro Tabs"/>
    <n v="10"/>
    <s v="Ram Agencies"/>
    <x v="5"/>
    <n v="164.91818181818181"/>
    <n v="181.41"/>
    <n v="1847.66"/>
    <n v="16.491818181818189"/>
  </r>
  <r>
    <s v="Zerodol SP Tabs"/>
    <s v="Pain Relief"/>
    <n v="10"/>
    <s v="Ram Agencies"/>
    <x v="5"/>
    <n v="96.75454545454545"/>
    <n v="106.43"/>
    <n v="1083.93"/>
    <n v="9.6754545454545564"/>
  </r>
  <r>
    <s v="Telmikind 20"/>
    <s v="Cardiovascular"/>
    <n v="3"/>
    <s v="RSM Pharma"/>
    <x v="6"/>
    <n v="17.618181818181817"/>
    <n v="19.38"/>
    <n v="59.22"/>
    <n v="1.7618181818181817"/>
  </r>
  <r>
    <s v="ORSL Apple Rehydrate Drink"/>
    <s v="Vitamins/Minerals"/>
    <n v="25"/>
    <s v="RSM Pharma"/>
    <x v="6"/>
    <n v="32.418181818181814"/>
    <n v="35.659999999999997"/>
    <n v="936.05"/>
    <n v="3.2418181818181822"/>
  </r>
  <r>
    <s v="Imograf Ointment"/>
    <s v="Immunosuppressant"/>
    <n v="2"/>
    <s v="RSM Pharma"/>
    <x v="6"/>
    <n v="103.89999999999999"/>
    <n v="114.29"/>
    <n v="232.8"/>
    <n v="10.390000000000015"/>
  </r>
  <r>
    <s v="Ebruma Cream"/>
    <s v="Anti-microbial"/>
    <n v="2"/>
    <s v="RSM Pharma"/>
    <x v="6"/>
    <n v="373.99999999999994"/>
    <n v="411.4"/>
    <n v="838.02"/>
    <n v="37.400000000000034"/>
  </r>
  <r>
    <s v="Clavam 625 MG"/>
    <s v="Anti-microbial"/>
    <n v="1"/>
    <s v="RSM Pharma"/>
    <x v="6"/>
    <n v="135.39090909090908"/>
    <n v="148.93"/>
    <n v="151.68"/>
    <n v="13.53909090909093"/>
  </r>
  <r>
    <s v="Patchex Tab"/>
    <s v="Anti-microbial"/>
    <n v="2"/>
    <s v="RSM Pharma"/>
    <x v="6"/>
    <n v="268.10909090909092"/>
    <n v="294.92"/>
    <n v="600.74"/>
    <n v="26.810909090909092"/>
  </r>
  <r>
    <s v="Trinicalm Plus Tab"/>
    <s v="Pain Relief"/>
    <n v="15"/>
    <s v="RSM Pharma"/>
    <x v="6"/>
    <n v="21.036363636363635"/>
    <n v="23.14"/>
    <n v="353.53"/>
    <n v="2.1036363636363653"/>
  </r>
  <r>
    <s v="Trivolib 1MG Tab "/>
    <s v="Diabetes"/>
    <n v="3"/>
    <s v="RSM Pharma"/>
    <x v="6"/>
    <n v="172.08181818181816"/>
    <n v="189.29"/>
    <n v="578.37"/>
    <n v="17.208181818181828"/>
  </r>
  <r>
    <s v="Ascoril LS SYP"/>
    <s v="Cold/Cough"/>
    <n v="7"/>
    <s v="RSM Pharma"/>
    <x v="6"/>
    <n v="100.32727272727271"/>
    <n v="110.36"/>
    <n v="736.23"/>
    <n v="10.032727272727286"/>
  </r>
  <r>
    <s v="Sensodent K (150ML)"/>
    <s v="Body Care"/>
    <n v="2"/>
    <s v="Mahaveer Medi Sales"/>
    <x v="6"/>
    <n v="88.963636363636354"/>
    <n v="97.86"/>
    <n v="199.35"/>
    <n v="8.8963636363636454"/>
  </r>
  <r>
    <s v="No Scars Cream 20GM"/>
    <s v="Skincare"/>
    <n v="1"/>
    <s v="Mahaveer Medi Sales"/>
    <x v="6"/>
    <n v="166.36363636363635"/>
    <n v="183"/>
    <n v="192.16"/>
    <n v="16.636363636363654"/>
  </r>
  <r>
    <s v="Flawlizo Micro 0.1% Gel"/>
    <s v="Skincare"/>
    <n v="1"/>
    <s v="Mahaveer Medi Sales"/>
    <x v="6"/>
    <n v="448.0545454545454"/>
    <n v="492.86"/>
    <n v="501.97"/>
    <n v="44.805454545454609"/>
  </r>
  <r>
    <s v="Cheston Cold Total Tab"/>
    <s v="Cold/Cough"/>
    <n v="10"/>
    <s v="Mahaveer Medi Sales"/>
    <x v="6"/>
    <n v="47.499999999999993"/>
    <n v="52.25"/>
    <n v="548.62"/>
    <n v="4.7500000000000071"/>
  </r>
  <r>
    <s v="Mindruff Scalp Solution"/>
    <s v="Body Care"/>
    <n v="2"/>
    <s v="Avenues Pharma "/>
    <x v="7"/>
    <n v="321.42727272727268"/>
    <n v="353.57"/>
    <n v="720.23"/>
    <n v="32.142727272727313"/>
  </r>
  <r>
    <s v="Ebruma Cream"/>
    <s v="Anti-microbial"/>
    <n v="2"/>
    <s v="Avenues Pharma "/>
    <x v="7"/>
    <n v="373.99999999999994"/>
    <n v="411.4"/>
    <n v="838.02"/>
    <n v="37.400000000000034"/>
  </r>
  <r>
    <s v="Lulikite Cream"/>
    <s v="Anti-microbial"/>
    <n v="2"/>
    <s v="Avenues Pharma "/>
    <x v="7"/>
    <n v="407.31818181818181"/>
    <n v="448.05"/>
    <n v="912.68"/>
    <n v="40.731818181818198"/>
  </r>
  <r>
    <s v="Glykind 60 XR Tab"/>
    <s v="Diabetes"/>
    <n v="3"/>
    <s v="Ram Agencies"/>
    <x v="7"/>
    <n v="63.218181818181819"/>
    <n v="69.540000000000006"/>
    <n v="212.48"/>
    <n v="6.3218181818181876"/>
  </r>
  <r>
    <s v="Olmezest AM 40MG Tabs"/>
    <s v="Cardiovascular"/>
    <n v="5"/>
    <s v="Ram Agencies"/>
    <x v="7"/>
    <n v="188.30909090909088"/>
    <n v="207.14"/>
    <n v="1054.8699999999999"/>
    <n v="18.830909090909103"/>
  </r>
  <r>
    <s v="Tazloc Beta 25MG Tabs"/>
    <s v="Cardiovascular"/>
    <n v="10"/>
    <s v="Ram Agencies"/>
    <x v="7"/>
    <n v="133.76363636363635"/>
    <n v="147.13999999999999"/>
    <n v="1498.62"/>
    <n v="13.376363636363635"/>
  </r>
  <r>
    <s v="Pilex Tabs"/>
    <s v="First Aid"/>
    <n v="1"/>
    <s v="Ram Agencies"/>
    <x v="7"/>
    <n v="162.07272727272726"/>
    <n v="178.28"/>
    <n v="181.57"/>
    <n v="16.207272727272738"/>
  </r>
  <r>
    <s v="Reclide 40 Tablets"/>
    <s v="Diabetes"/>
    <n v="4"/>
    <s v="Ram Agencies"/>
    <x v="7"/>
    <n v="56"/>
    <n v="61.6"/>
    <n v="250.97"/>
    <n v="5.6000000000000014"/>
  </r>
  <r>
    <s v="Mox 250MG Redimix 60ML"/>
    <s v="Anti-microbial"/>
    <n v="1"/>
    <s v="Ram Agencies"/>
    <x v="7"/>
    <n v="69.181818181818173"/>
    <n v="76.099999999999994"/>
    <n v="77.52"/>
    <n v="6.9181818181818215"/>
  </r>
  <r>
    <s v="Telemikind-H 80 Tabs"/>
    <s v="Cardiovascular"/>
    <n v="1"/>
    <s v="Ram Agencies"/>
    <x v="7"/>
    <n v="97.745454545454535"/>
    <n v="107.52"/>
    <n v="109.51"/>
    <n v="9.7745454545454606"/>
  </r>
  <r>
    <s v="Naprosyn+250MG 15S"/>
    <s v="Pain Relief"/>
    <n v="2"/>
    <s v="Ram Agencies"/>
    <x v="7"/>
    <n v="75.127272727272725"/>
    <n v="82.64"/>
    <n v="168.34"/>
    <n v="7.5127272727272754"/>
  </r>
  <r>
    <s v="Glycomet GP 1 Tabs"/>
    <s v="Diabetes"/>
    <n v="10"/>
    <s v="Ram Agencies"/>
    <x v="7"/>
    <n v="85.390909090909091"/>
    <n v="93.93"/>
    <n v="956.68"/>
    <n v="8.5390909090909162"/>
  </r>
  <r>
    <s v="Nurokind LC Tabs"/>
    <s v="Pain Relief"/>
    <n v="6"/>
    <s v="Ram Agencies"/>
    <x v="7"/>
    <n v="165.48181818181817"/>
    <n v="182.03"/>
    <n v="1019.69"/>
    <n v="16.548181818181831"/>
  </r>
  <r>
    <s v="Tenepride 20 Tabs"/>
    <s v="Diabetes"/>
    <n v="2"/>
    <s v="Ram Agencies"/>
    <x v="7"/>
    <n v="241.94545454545451"/>
    <n v="266.14"/>
    <n v="542.13"/>
    <n v="24.194545454545477"/>
  </r>
  <r>
    <s v="Shelcal 500 Tabs"/>
    <s v="Vitamins/Minerals"/>
    <n v="5"/>
    <s v="Ram Agencies"/>
    <x v="7"/>
    <n v="102.96363636363635"/>
    <n v="113.26"/>
    <n v="576.77"/>
    <n v="10.296363636363651"/>
  </r>
  <r>
    <s v="Duphalac Syrup"/>
    <s v="Gastro Tabs"/>
    <n v="2"/>
    <s v="Ram Agencies"/>
    <x v="7"/>
    <n v="136.36363636363635"/>
    <n v="150"/>
    <n v="305.56"/>
    <n v="13.636363636363654"/>
  </r>
  <r>
    <s v="Beatdine 0.2%"/>
    <s v="First Aid"/>
    <n v="1"/>
    <s v="Ram Agencies"/>
    <x v="7"/>
    <n v="216.88181818181815"/>
    <n v="238.57"/>
    <n v="242.99"/>
    <n v="21.688181818181846"/>
  </r>
  <r>
    <s v="Lacryl Hydrate Eye Drops"/>
    <s v="Body Care"/>
    <n v="3"/>
    <s v="RSM Pharma"/>
    <x v="7"/>
    <n v="357.79090909090905"/>
    <n v="393.57"/>
    <n v="1202.55"/>
    <n v="35.779090909090939"/>
  </r>
  <r>
    <s v="Lulipex Cream"/>
    <s v="Anti-microbial"/>
    <n v="1"/>
    <s v="RSM Pharma"/>
    <x v="7"/>
    <n v="92.527272727272717"/>
    <n v="101.78"/>
    <n v="103.67"/>
    <n v="9.2527272727272845"/>
  </r>
  <r>
    <s v="EBAL 20"/>
    <s v="Body Care"/>
    <n v="10"/>
    <s v="RSM Pharma"/>
    <x v="7"/>
    <n v="74.354545454545459"/>
    <n v="81.790000000000006"/>
    <n v="833.02"/>
    <n v="7.4354545454545473"/>
  </r>
  <r>
    <s v="Beatdine Gargle 2% Mint"/>
    <s v="Body Care"/>
    <n v="1"/>
    <s v="RSM Pharma"/>
    <x v="7"/>
    <n v="216.88181818181815"/>
    <n v="238.57"/>
    <n v="242.99"/>
    <n v="21.688181818181846"/>
  </r>
  <r>
    <s v="Cardace 5mg Tab"/>
    <s v="Cardiovascular"/>
    <n v="2"/>
    <s v="RSM Pharma"/>
    <x v="7"/>
    <n v="89.23636363636362"/>
    <n v="98.16"/>
    <n v="199.95"/>
    <n v="8.9236363636363762"/>
  </r>
  <r>
    <s v="Kailas Jeevan Cream"/>
    <s v="First Aid"/>
    <n v="1"/>
    <s v="RSM Pharma"/>
    <x v="7"/>
    <n v="44.845454545454537"/>
    <n v="49.33"/>
    <n v="51.79"/>
    <n v="4.4845454545454615"/>
  </r>
  <r>
    <s v="Seroflo-250 Inhaler"/>
    <s v="Respiratory"/>
    <n v="1"/>
    <s v="RSM Pharma"/>
    <x v="7"/>
    <n v="633.58181818181822"/>
    <n v="696.94"/>
    <n v="709.83"/>
    <n v="63.358181818181833"/>
  </r>
  <r>
    <s v="Dermadew PMX Anti itch Lotion"/>
    <s v="Skincare"/>
    <n v="2"/>
    <s v="RSM Pharma"/>
    <x v="7"/>
    <n v="292.75454545454539"/>
    <n v="322.02999999999997"/>
    <n v="737.2"/>
    <n v="29.275454545454579"/>
  </r>
  <r>
    <s v="Rozat 5MG Tab"/>
    <s v="Cardiovascular"/>
    <n v="2"/>
    <s v="RSM Pharma"/>
    <x v="7"/>
    <n v="118.18181818181817"/>
    <n v="130"/>
    <n v="264.82"/>
    <n v="11.818181818181827"/>
  </r>
  <r>
    <s v="Picon Cream 10gm"/>
    <s v="Anti-microbial"/>
    <n v="2"/>
    <s v="RSM Pharma"/>
    <x v="7"/>
    <n v="457.85454545454542"/>
    <n v="503.64"/>
    <n v="1025.92"/>
    <n v="45.78545454545457"/>
  </r>
  <r>
    <s v="Kailas Jeevan Cream"/>
    <s v="First Aid"/>
    <n v="2"/>
    <s v="RSM Pharma"/>
    <x v="7"/>
    <n v="103.49090909090908"/>
    <n v="113.84"/>
    <n v="239.06"/>
    <n v="10.349090909090918"/>
  </r>
  <r>
    <s v="Dazit 10MG Tab"/>
    <s v="Anti-microbial"/>
    <n v="4"/>
    <s v="RSM Pharma"/>
    <x v="7"/>
    <n v="182.46363636363637"/>
    <n v="200.71"/>
    <n v="817.69"/>
    <n v="18.24636363636364"/>
  </r>
  <r>
    <s v="Tyza M Cream"/>
    <s v="Anti-microbial"/>
    <n v="5"/>
    <s v="RSM Pharma"/>
    <x v="7"/>
    <n v="86.75454545454545"/>
    <n v="95.43"/>
    <n v="485.98"/>
    <n v="8.6754545454545564"/>
  </r>
  <r>
    <s v="Candid Cream"/>
    <s v="Anti-microbial"/>
    <n v="1"/>
    <s v="RSM Pharma"/>
    <x v="7"/>
    <n v="65.454545454545453"/>
    <n v="72"/>
    <n v="485.98"/>
    <n v="6.5454545454545467"/>
  </r>
  <r>
    <s v="Propysalic Plus 3% Lotion"/>
    <s v="Anti-microbial"/>
    <n v="2"/>
    <s v="RSM Pharma"/>
    <x v="7"/>
    <n v="71.427272727272722"/>
    <n v="78.569999999999993"/>
    <n v="160.05000000000001"/>
    <n v="7.1427272727272708"/>
  </r>
  <r>
    <s v="Syndopa Plus 15 "/>
    <s v="Pain Relief"/>
    <n v="10"/>
    <s v="RSM Pharma"/>
    <x v="7"/>
    <n v="28.518181818181816"/>
    <n v="31.37"/>
    <n v="319.51"/>
    <n v="2.8518181818181851"/>
  </r>
  <r>
    <s v="Bilashine 40MG Tab"/>
    <s v="Anti-microbial"/>
    <n v="10"/>
    <s v="RSM Pharma"/>
    <x v="7"/>
    <n v="153.24545454545452"/>
    <n v="168.57"/>
    <n v="1716.89"/>
    <n v="15.324545454545472"/>
  </r>
  <r>
    <s v="Betadine 10% Solution"/>
    <s v="First Aid"/>
    <n v="1"/>
    <s v="RSM Pharma"/>
    <x v="7"/>
    <n v="74.836363636363629"/>
    <n v="82.32"/>
    <n v="84.71"/>
    <n v="7.4836363636363643"/>
  </r>
  <r>
    <s v="Gelusil MPS Liquid 400 ML"/>
    <s v="Gastro Tabs"/>
    <n v="5"/>
    <s v="RSM Pharma"/>
    <x v="7"/>
    <n v="164.97272727272727"/>
    <n v="181.47"/>
    <n v="924.13"/>
    <n v="16.49727272727273"/>
  </r>
  <r>
    <s v="Rexidin SRS Mouth Wash"/>
    <s v="Body Care"/>
    <n v="1"/>
    <s v="RSM Pharma"/>
    <x v="7"/>
    <n v="113.63636363636363"/>
    <n v="125"/>
    <n v="127.31"/>
    <n v="11.363636363636374"/>
  </r>
  <r>
    <s v="Dersol 3% Ointment"/>
    <s v="Skincare"/>
    <n v="1"/>
    <s v="RSM Pharma"/>
    <x v="7"/>
    <n v="36.490909090909085"/>
    <n v="40.14"/>
    <n v="40.880000000000003"/>
    <n v="3.6490909090909156"/>
  </r>
  <r>
    <s v="Alista MP 500 Tablets"/>
    <s v="Skincare"/>
    <n v="2"/>
    <s v="Mahaveer Medi Sales"/>
    <x v="8"/>
    <n v="132.14545454545456"/>
    <n v="145.36000000000001"/>
    <n v="296.10000000000002"/>
    <n v="13.214545454545458"/>
  </r>
  <r>
    <s v="Mintop Alcohol Free 5% Solution"/>
    <s v="Skincare"/>
    <n v="1"/>
    <s v="Mahaveer Medi Sales"/>
    <x v="8"/>
    <n v="794.31818181818176"/>
    <n v="873.75"/>
    <n v="889.92"/>
    <n v="79.431818181818244"/>
  </r>
  <r>
    <s v="Luliford Cream 20gm"/>
    <s v="Skincare"/>
    <n v="1"/>
    <s v="Mahaveer Medi Sales"/>
    <x v="8"/>
    <n v="43.636363636363633"/>
    <n v="48"/>
    <n v="50.4"/>
    <n v="4.3636363636363669"/>
  </r>
  <r>
    <s v="Glycomet Trio 1MG Tab"/>
    <s v="Anti-microbial"/>
    <n v="2"/>
    <s v="Mahaveer Medi Sales"/>
    <x v="8"/>
    <n v="111.13636363636363"/>
    <n v="122.25"/>
    <n v="249.03"/>
    <n v="11.113636363636374"/>
  </r>
  <r>
    <s v="Luliford Cream 30gm"/>
    <s v="Anti-microbial"/>
    <n v="1"/>
    <s v="Mahaveer Medi Sales"/>
    <x v="8"/>
    <n v="54.54545454545454"/>
    <n v="60"/>
    <n v="63"/>
    <n v="5.4545454545454604"/>
  </r>
  <r>
    <s v="Istamet 50MG/500MG Tab"/>
    <s v="Skincare"/>
    <n v="2"/>
    <s v="Mahaveer Medi Sales"/>
    <x v="8"/>
    <n v="111.03636363636363"/>
    <n v="122.14"/>
    <n v="248.79"/>
    <n v="11.103636363636369"/>
  </r>
  <r>
    <s v="Ivoral Forte Tab©"/>
    <s v="Anti-microbial"/>
    <n v="1"/>
    <s v="Mahaveer Medi Sales"/>
    <x v="8"/>
    <n v="35.927272727272729"/>
    <n v="39.520000000000003"/>
    <n v="40.25"/>
    <n v="3.5927272727272737"/>
  </r>
  <r>
    <s v="Sompraz 40MG Tab"/>
    <s v="Immunosuppressant"/>
    <n v="1"/>
    <s v="Mahaveer Medi Sales"/>
    <x v="8"/>
    <n v="116.88181818181816"/>
    <n v="128.57"/>
    <n v="130.94999999999999"/>
    <n v="11.688181818181832"/>
  </r>
  <r>
    <s v="Ulgel Elaichi Susp"/>
    <s v="Immunosuppressant"/>
    <n v="1"/>
    <s v="Mahaveer Medi Sales"/>
    <x v="8"/>
    <n v="112.39999999999999"/>
    <n v="123.64"/>
    <n v="125.93"/>
    <n v="11.240000000000009"/>
  </r>
  <r>
    <s v="Thickify Ampm Tab"/>
    <s v="Anti-microbial"/>
    <n v="1"/>
    <s v="Mahaveer Medi Sales"/>
    <x v="8"/>
    <n v="252.70000000000002"/>
    <n v="277.97000000000003"/>
    <n v="283.11"/>
    <n v="25.27000000000001"/>
  </r>
  <r>
    <s v="Freelac Oral Solution 100M"/>
    <s v="Anti-microbial"/>
    <n v="2"/>
    <s v="Mahaveer Medi Sales"/>
    <x v="8"/>
    <n v="76.354545454545445"/>
    <n v="83.99"/>
    <n v="176.36"/>
    <n v="7.6354545454545502"/>
  </r>
  <r>
    <s v="Lantus Catridge"/>
    <s v="Cold/Cough"/>
    <n v="1"/>
    <s v="Sri Parshva Distributors"/>
    <x v="8"/>
    <n v="2330.2909090909088"/>
    <n v="2563.3200000000002"/>
    <n v="2610.7399999999998"/>
    <n v="233.02909090909134"/>
  </r>
  <r>
    <s v="Minichek Solution "/>
    <s v="Anti-microbial"/>
    <n v="1"/>
    <s v="RSM Pharma"/>
    <x v="8"/>
    <n v="687.87272727272716"/>
    <n v="756.66"/>
    <n v="770.66"/>
    <n v="68.787272727272807"/>
  </r>
  <r>
    <s v="EBAL 20"/>
    <s v="Immunosuppressant"/>
    <n v="10"/>
    <s v="RSM Pharma"/>
    <x v="8"/>
    <n v="74.354545454545459"/>
    <n v="81.790000000000006"/>
    <n v="833.02"/>
    <n v="7.4354545454545473"/>
  </r>
  <r>
    <s v="Petril MD 0.25mg Tab"/>
    <s v="Anti-microbial"/>
    <n v="1"/>
    <s v="RSM Pharma"/>
    <x v="8"/>
    <n v="22.027272727272727"/>
    <n v="24.23"/>
    <n v="24.68"/>
    <n v="2.2027272727272731"/>
  </r>
  <r>
    <s v="Gluconorm SR Tab "/>
    <s v="Anti-microbial"/>
    <n v="3"/>
    <s v="RSM Pharma"/>
    <x v="8"/>
    <n v="22.372727272727271"/>
    <n v="24.61"/>
    <n v="79.2"/>
    <n v="2.2372727272727282"/>
  </r>
  <r>
    <s v="Reclide 80MG Tab"/>
    <s v="Gastro Tabs"/>
    <n v="4"/>
    <s v="RSM Pharma"/>
    <x v="8"/>
    <n v="94.154545454545442"/>
    <n v="103.57"/>
    <n v="421.96"/>
    <n v="9.4154545454545513"/>
  </r>
  <r>
    <s v="Oilatum Kids Bar"/>
    <s v="Anti-microbial"/>
    <n v="1"/>
    <s v="RSM Pharma"/>
    <x v="8"/>
    <n v="81.445454545454538"/>
    <n v="89.59"/>
    <n v="102.54"/>
    <n v="8.1445454545454652"/>
  </r>
  <r>
    <s v="Gabaneuron NT 100MG Tab"/>
    <s v="Gastro Tabs"/>
    <n v="2"/>
    <s v="RSM Pharma"/>
    <x v="8"/>
    <n v="124.34545454545453"/>
    <n v="136.78"/>
    <n v="278.81"/>
    <n v="12.434545454545471"/>
  </r>
  <r>
    <s v="Volini Gel 100gm"/>
    <s v="Cardiovascular"/>
    <n v="4"/>
    <s v="RSM Pharma"/>
    <x v="8"/>
    <n v="242.20909090909089"/>
    <n v="266.43"/>
    <n v="963.34"/>
    <n v="24.220909090909117"/>
  </r>
  <r>
    <s v="Sizopin 25MG Tab"/>
    <s v="Gastro Tabs"/>
    <n v="1"/>
    <s v="RSM Pharma"/>
    <x v="8"/>
    <n v="20.563636363636363"/>
    <n v="22.62"/>
    <n v="23.04"/>
    <n v="2.0563636363636384"/>
  </r>
  <r>
    <s v="Rosuvas F 10MG "/>
    <s v="Cardiovascular"/>
    <n v="2"/>
    <s v="RSM Pharma"/>
    <x v="8"/>
    <n v="290.25454545454539"/>
    <n v="319.27999999999997"/>
    <n v="650.38"/>
    <n v="29.025454545454579"/>
  </r>
  <r>
    <s v="Amrith Noni Artho Plus Liquid "/>
    <s v="Skincare"/>
    <n v="2"/>
    <s v="RSM Pharma"/>
    <x v="8"/>
    <n v="1131.4909090909091"/>
    <n v="1244.6400000000001"/>
    <n v="2535.34"/>
    <n v="113.149090909091"/>
  </r>
  <r>
    <s v="Mox 250MG Redimix 60ML"/>
    <s v="Anti-microbial"/>
    <n v="1"/>
    <s v="RSM Pharma"/>
    <x v="8"/>
    <n v="69.181818181818173"/>
    <n v="76.099999999999994"/>
    <n v="77.52"/>
    <n v="6.9181818181818215"/>
  </r>
  <r>
    <s v="Imojac Ointment"/>
    <s v="Skincare"/>
    <n v="5"/>
    <s v="5S Pharma Distributions"/>
    <x v="9"/>
    <n v="448.13636363636357"/>
    <n v="492.95"/>
    <n v="2510.35"/>
    <n v="44.813636363636419"/>
  </r>
  <r>
    <s v="Sensoform Paint 20ML"/>
    <s v="Skincare"/>
    <n v="5"/>
    <s v="RSM Pharma"/>
    <x v="9"/>
    <n v="84.090909090909079"/>
    <n v="92.5"/>
    <n v="471.07"/>
    <n v="8.4090909090909207"/>
  </r>
  <r>
    <s v="Zimvir 500MG Tab"/>
    <s v="Respiratory"/>
    <n v="7"/>
    <s v="RSM Pharma"/>
    <x v="9"/>
    <n v="107.36363636363635"/>
    <n v="118.1"/>
    <n v="842"/>
    <n v="10.736363636363649"/>
  </r>
  <r>
    <s v="Zimvir 1000MG Tab"/>
    <s v="Respiratory"/>
    <n v="7"/>
    <s v="RSM Pharma"/>
    <x v="9"/>
    <n v="172.1090909090909"/>
    <n v="189.32"/>
    <n v="1349.76"/>
    <n v="17.210909090909098"/>
  </r>
  <r>
    <s v="Mascart CL"/>
    <s v="Skincare"/>
    <n v="2"/>
    <s v="RSM Pharma"/>
    <x v="9"/>
    <n v="96.636363636363626"/>
    <n v="106.3"/>
    <n v="216.54"/>
    <n v="9.6636363636363711"/>
  </r>
  <r>
    <s v="Kerabright Keratin Shampoo"/>
    <s v="Skincare"/>
    <n v="1"/>
    <s v="RSM Pharma"/>
    <x v="9"/>
    <n v="348.95454545454544"/>
    <n v="383.85"/>
    <n v="390.95"/>
    <n v="34.895454545454584"/>
  </r>
  <r>
    <s v="Premarin 0.625MG Tab"/>
    <s v="Respiratory"/>
    <n v="1"/>
    <s v="RSM Pharma"/>
    <x v="9"/>
    <n v="897.09090909090901"/>
    <n v="986.8"/>
    <n v="1005.06"/>
    <n v="89.709090909090946"/>
  </r>
  <r>
    <s v="Ascoril+ Expt 120ML"/>
    <s v="Body Care"/>
    <n v="7"/>
    <s v="RSM Pharma"/>
    <x v="9"/>
    <n v="109.41818181818181"/>
    <n v="120.36"/>
    <n v="802.95"/>
    <n v="10.941818181818192"/>
  </r>
  <r>
    <s v="Megaheal Gel 50GM"/>
    <s v="Body Care"/>
    <n v="1"/>
    <s v="RSM Pharma"/>
    <x v="9"/>
    <n v="251.69090909090909"/>
    <n v="276.86"/>
    <n v="272.82"/>
    <n v="25.169090909090926"/>
  </r>
  <r>
    <s v="Amlong 2.5MG Tab"/>
    <s v="Body Care"/>
    <n v="5"/>
    <s v="RSM Pharma"/>
    <x v="9"/>
    <n v="19.845454545454544"/>
    <n v="21.83"/>
    <n v="111.18"/>
    <n v="1.9845454545454544"/>
  </r>
  <r>
    <s v="Epilyno Lotion"/>
    <s v="Pain Relief"/>
    <n v="2"/>
    <s v="RSM Pharma"/>
    <x v="9"/>
    <n v="323.59090909090907"/>
    <n v="355.95"/>
    <n v="814.84"/>
    <n v="32.359090909090924"/>
  </r>
  <r>
    <s v="Accu Chek "/>
    <s v="Respiratory"/>
    <n v="1"/>
    <s v="RSM Pharma"/>
    <x v="9"/>
    <n v="807.16363636363633"/>
    <n v="887.88"/>
    <n v="904.3"/>
    <n v="80.716363636363667"/>
  </r>
  <r>
    <s v="Accu Chek "/>
    <s v="Respiratory"/>
    <n v="1"/>
    <s v="RSM Pharma"/>
    <x v="10"/>
    <n v="807.16363636363633"/>
    <n v="887.88"/>
    <n v="904.3"/>
    <n v="80.716363636363667"/>
  </r>
  <r>
    <s v="Siloderm Cream"/>
    <s v="Gastro Tabs"/>
    <n v="1"/>
    <s v="RSM Pharma"/>
    <x v="9"/>
    <n v="65.25454545454545"/>
    <n v="71.78"/>
    <n v="73.11"/>
    <n v="6.5254545454545507"/>
  </r>
  <r>
    <s v="D 500 Cal Tab"/>
    <s v="Sunscreen"/>
    <n v="2"/>
    <s v="RSM Pharma"/>
    <x v="9"/>
    <n v="55.581818181818178"/>
    <n v="61.14"/>
    <n v="124.55"/>
    <n v="5.5581818181818221"/>
  </r>
  <r>
    <s v="Navison Classic Spray"/>
    <s v="Skincare"/>
    <n v="5"/>
    <s v="RSM Pharma"/>
    <x v="9"/>
    <n v="77.86363636363636"/>
    <n v="85.65"/>
    <n v="436.18"/>
    <n v="7.7863636363636459"/>
  </r>
  <r>
    <s v="Mucaine Gel Mint "/>
    <s v="Gastro Tabs"/>
    <n v="1"/>
    <s v="Ram Agencies"/>
    <x v="11"/>
    <n v="223.89090909090908"/>
    <n v="246.28"/>
    <n v="250.83"/>
    <n v="22.389090909090925"/>
  </r>
  <r>
    <s v="Atogla Lotion"/>
    <s v="Skincare"/>
    <n v="1"/>
    <s v="Ram Agencies"/>
    <x v="11"/>
    <n v="391.37272727272722"/>
    <n v="430.51"/>
    <n v="492.75"/>
    <n v="39.137272727272773"/>
  </r>
  <r>
    <s v="MX-F 5% Topical Solution"/>
    <s v="Body Care"/>
    <n v="1"/>
    <s v="Ram Agencies"/>
    <x v="11"/>
    <n v="568.18181818181813"/>
    <n v="625"/>
    <n v="636.57000000000005"/>
    <n v="56.81818181818187"/>
  </r>
  <r>
    <s v="Moisturex Hydra Gel"/>
    <s v="Skincare"/>
    <n v="3"/>
    <s v="Ram Agencies"/>
    <x v="11"/>
    <n v="264.40909090909093"/>
    <n v="290.85000000000002"/>
    <n v="998.71"/>
    <n v="26.440909090909088"/>
  </r>
  <r>
    <s v="Meganeuron OD Plus"/>
    <s v="Vitamins/Minerals"/>
    <n v="2"/>
    <s v="Ram Agencies"/>
    <x v="11"/>
    <n v="113.63636363636363"/>
    <n v="125"/>
    <n v="254.62"/>
    <n v="11.363636363636374"/>
  </r>
  <r>
    <s v="Hhsone Cream"/>
    <s v="Anti-microbial"/>
    <n v="1"/>
    <s v="Ram Agencies"/>
    <x v="11"/>
    <n v="246.09999999999997"/>
    <n v="270.70999999999998"/>
    <n v="275.70999999999998"/>
    <n v="24.610000000000014"/>
  </r>
  <r>
    <s v="Macsart CL Tab"/>
    <s v="Cardiovascular"/>
    <n v="3"/>
    <s v="Ram Agencies"/>
    <x v="11"/>
    <n v="96.636363636363626"/>
    <n v="106.3"/>
    <n v="324.79000000000002"/>
    <n v="9.6636363636363711"/>
  </r>
  <r>
    <s v="Envas 10MG Tab"/>
    <s v="Cardiovascular"/>
    <n v="1"/>
    <s v="Ram Agencies"/>
    <x v="11"/>
    <n v="64.281818181818167"/>
    <n v="70.709999999999994"/>
    <n v="72.010000000000005"/>
    <n v="6.4281818181818267"/>
  </r>
  <r>
    <s v="Stolin Gum Astringent"/>
    <s v="Body Care"/>
    <n v="1"/>
    <s v="Ram Agencies"/>
    <x v="11"/>
    <n v="82.954545454545453"/>
    <n v="91.25"/>
    <n v="92.93"/>
    <n v="8.2954545454545467"/>
  </r>
  <r>
    <s v="02 New Suspension"/>
    <s v="Anti-microbial"/>
    <n v="4"/>
    <s v="Ram Agencies"/>
    <x v="11"/>
    <n v="53.890909090909091"/>
    <n v="59.28"/>
    <n v="241.51"/>
    <n v="5.3890909090909105"/>
  </r>
  <r>
    <s v="Seloken XL 25MG Tab"/>
    <s v="Cardiovascular"/>
    <n v="2"/>
    <s v="Ram Agencies"/>
    <x v="11"/>
    <n v="95.999999999999986"/>
    <n v="105.6"/>
    <n v="217.32"/>
    <n v="9.6000000000000085"/>
  </r>
  <r>
    <s v="Shelcal HD Tab"/>
    <s v="Vitamins/Minerals"/>
    <n v="5"/>
    <s v="Ram Agencies"/>
    <x v="11"/>
    <n v="107.7090909090909"/>
    <n v="118.48"/>
    <n v="603.37"/>
    <n v="10.7709090909091"/>
  </r>
  <r>
    <s v="Ascoril SF Syrup"/>
    <s v="Cold/Cough"/>
    <n v="1"/>
    <s v="Ram Agencies"/>
    <x v="11"/>
    <n v="109.41818181818181"/>
    <n v="120.36"/>
    <n v="122.59"/>
    <n v="10.941818181818192"/>
  </r>
  <r>
    <s v="P-500 Suspension"/>
    <s v="Pain Relief"/>
    <n v="1"/>
    <s v="Ram Agencies"/>
    <x v="11"/>
    <n v="30.981818181818177"/>
    <n v="34.08"/>
    <n v="34.72"/>
    <n v="3.0981818181818213"/>
  </r>
  <r>
    <s v="Thhronorm-50"/>
    <s v="Vitamins/Minerals"/>
    <n v="3"/>
    <s v="Ram Agencies"/>
    <x v="11"/>
    <n v="91.445454545454538"/>
    <n v="100.59"/>
    <n v="307.36"/>
    <n v="9.1445454545454652"/>
  </r>
  <r>
    <s v="Hum-Actrapid"/>
    <s v="Diabetes"/>
    <n v="1"/>
    <s v="Ram Agencies"/>
    <x v="11"/>
    <n v="131.91818181818181"/>
    <n v="145.11000000000001"/>
    <n v="149.33000000000001"/>
    <n v="13.191818181818206"/>
  </r>
  <r>
    <s v="Glynium VT Inhaler"/>
    <s v="Respiratory"/>
    <n v="1"/>
    <s v="RSM Pharma"/>
    <x v="11"/>
    <n v="518.82727272727277"/>
    <n v="570.71"/>
    <n v="581.27"/>
    <n v="51.882727272727266"/>
  </r>
  <r>
    <s v="Coaltar S Lotion"/>
    <s v="Skincare"/>
    <n v="1"/>
    <s v="RSM Pharma"/>
    <x v="11"/>
    <n v="226.6272727272727"/>
    <n v="249.29"/>
    <n v="253.91"/>
    <n v="22.662727272727295"/>
  </r>
  <r>
    <s v="Roseday 10MG Tab"/>
    <s v="Cardiovascular"/>
    <n v="2"/>
    <s v="RSM Pharma"/>
    <x v="11"/>
    <n v="147.39999999999998"/>
    <n v="162.13999999999999"/>
    <n v="330.27"/>
    <n v="14.740000000000009"/>
  </r>
  <r>
    <s v="Canesten Cream 30GM"/>
    <s v="Anti-microbial"/>
    <n v="1"/>
    <s v="RSM Pharma"/>
    <x v="11"/>
    <n v="64.936363636363637"/>
    <n v="71.430000000000007"/>
    <n v="73.5"/>
    <n v="6.4936363636363694"/>
  </r>
  <r>
    <s v="Omnix 100 Dry Syrup"/>
    <s v="Anti-microbial"/>
    <n v="1"/>
    <s v="RSM Pharma"/>
    <x v="11"/>
    <n v="53.009090909090908"/>
    <n v="58.31"/>
    <n v="59.38"/>
    <n v="5.3009090909090943"/>
  </r>
  <r>
    <s v="Lumispark Cream 20G"/>
    <s v="Skincare"/>
    <n v="5"/>
    <s v="Sri Vignesh Pharma"/>
    <x v="12"/>
    <n v="369.18181818181819"/>
    <n v="406.1"/>
    <n v="2324"/>
    <n v="36.918181818181836"/>
  </r>
  <r>
    <s v="Torvate 500MG Tab"/>
    <s v="Pain Relief"/>
    <n v="5"/>
    <s v="RSM Pharma"/>
    <x v="12"/>
    <n v="40.272727272727266"/>
    <n v="44.3"/>
    <n v="225.6"/>
    <n v="4.0272727272727309"/>
  </r>
  <r>
    <s v="Triclear N Gel 20GM"/>
    <s v="Skincare"/>
    <n v="1"/>
    <s v="RSM Pharma"/>
    <x v="12"/>
    <n v="292.20909090909089"/>
    <n v="321.43"/>
    <n v="327.37"/>
    <n v="29.220909090909117"/>
  </r>
  <r>
    <s v="Carmax Cap"/>
    <s v="Vitamins/Minerals"/>
    <n v="5"/>
    <s v="RSM Pharma"/>
    <x v="12"/>
    <n v="203.89999999999998"/>
    <n v="224.29"/>
    <n v="1039.4000000000001"/>
    <n v="20.390000000000015"/>
  </r>
  <r>
    <s v="Lifanta Eye Drops"/>
    <s v="Body Care"/>
    <n v="1"/>
    <s v="RSM Pharma"/>
    <x v="12"/>
    <n v="506.49090909090904"/>
    <n v="557.14"/>
    <n v="567.45000000000005"/>
    <n v="50.649090909090944"/>
  </r>
  <r>
    <s v="Aquasoft FC Cream"/>
    <s v="Skincare"/>
    <n v="1"/>
    <s v="RSM Pharma"/>
    <x v="12"/>
    <n v="180.58181818181816"/>
    <n v="198.64"/>
    <n v="227.36"/>
    <n v="18.058181818181822"/>
  </r>
  <r>
    <s v="Zincovit Syrup"/>
    <s v="Vitamins/Minerals"/>
    <n v="1"/>
    <s v="RSM Pharma"/>
    <x v="12"/>
    <n v="110.93636363636362"/>
    <n v="122.03"/>
    <n v="124.29"/>
    <n v="11.093636363636378"/>
  </r>
  <r>
    <s v="Metrogyl 200MG Tab"/>
    <s v="Anti-microbial"/>
    <n v="2"/>
    <s v="RSM Pharma"/>
    <x v="12"/>
    <n v="13.009090909090908"/>
    <n v="14.31"/>
    <n v="29.14"/>
    <n v="1.3009090909090926"/>
  </r>
  <r>
    <s v="Xymoheald D Tab"/>
    <s v="Pain Relief"/>
    <n v="1"/>
    <s v="RSM Pharma"/>
    <x v="12"/>
    <n v="236.5545454545454"/>
    <n v="260.20999999999998"/>
    <n v="265.02"/>
    <n v="23.655454545454575"/>
  </r>
  <r>
    <s v="Onabet Cream 15GM"/>
    <s v="Anti-microbial"/>
    <n v="1"/>
    <s v="RSM Pharma"/>
    <x v="12"/>
    <n v="166.96363636363634"/>
    <n v="183.66"/>
    <n v="187.05"/>
    <n v="16.696363636363657"/>
  </r>
  <r>
    <s v="Glyciphage G1"/>
    <s v="Diabetes"/>
    <n v="2"/>
    <s v="RSM Pharma"/>
    <x v="12"/>
    <n v="60.645454545454534"/>
    <n v="66.709999999999994"/>
    <n v="135.9"/>
    <n v="6.0645454545454598"/>
  </r>
  <r>
    <s v="Meladuce Face Serum"/>
    <s v="Skincare"/>
    <n v="5"/>
    <s v="Medline Distributors"/>
    <x v="12"/>
    <n v="369.18181818181819"/>
    <n v="406.1"/>
    <n v="2324"/>
    <n v="36.918181818181836"/>
  </r>
  <r>
    <s v="Atorva Gold 10MG Cap"/>
    <s v="Cardiovascular"/>
    <n v="3"/>
    <s v="Ram Agencies"/>
    <x v="13"/>
    <n v="45.172727272727265"/>
    <n v="49.69"/>
    <n v="151.80000000000001"/>
    <n v="4.5172727272727329"/>
  </r>
  <r>
    <s v="Thrombphob Ointment"/>
    <s v="First Aid"/>
    <n v="6"/>
    <s v="Ram Agencies"/>
    <x v="13"/>
    <n v="156.21818181818182"/>
    <n v="171.84"/>
    <n v="1050.0999999999999"/>
    <n v="15.621818181818185"/>
  </r>
  <r>
    <s v="Becadexamin Caps"/>
    <s v="Vitamins/Minerals"/>
    <n v="1"/>
    <s v="Ram Agencies"/>
    <x v="13"/>
    <n v="84"/>
    <n v="92.4"/>
    <n v="94.1"/>
    <n v="8.4000000000000057"/>
  </r>
  <r>
    <s v="Cosglo New Cream"/>
    <s v="Skincare"/>
    <n v="1"/>
    <s v="Ram Agencies"/>
    <x v="13"/>
    <n v="426.49999999999994"/>
    <n v="469.15"/>
    <n v="537"/>
    <n v="42.650000000000034"/>
  </r>
  <r>
    <s v="8X Shampoo"/>
    <s v="Body Care"/>
    <n v="1"/>
    <s v="Ram Agencies"/>
    <x v="13"/>
    <n v="350.36363636363632"/>
    <n v="385.4"/>
    <n v="392"/>
    <n v="35.03636363636366"/>
  </r>
  <r>
    <s v="Tedibar Ceramax [75GM]"/>
    <s v="Skincare"/>
    <n v="1"/>
    <s v="Ram Agencies"/>
    <x v="13"/>
    <n v="147.29999999999998"/>
    <n v="162.03"/>
    <n v="185.4"/>
    <n v="14.730000000000018"/>
  </r>
  <r>
    <s v="Omnitah H"/>
    <s v="Cardiovascular"/>
    <n v="2"/>
    <s v="Ram Agencies"/>
    <x v="13"/>
    <n v="147.29999999999998"/>
    <n v="162.03"/>
    <n v="185.4"/>
    <n v="14.730000000000018"/>
  </r>
  <r>
    <s v="Eltroxin 100MG Tabs"/>
    <s v="Vitamins/Minerals"/>
    <n v="1"/>
    <s v="Ram Agencies"/>
    <x v="13"/>
    <n v="164.93636363636364"/>
    <n v="181.43"/>
    <n v="369.5"/>
    <n v="16.493636363636369"/>
  </r>
  <r>
    <s v="Acitrom 3MG Tab"/>
    <s v="Cardiovascular"/>
    <n v="1"/>
    <s v="Ram Agencies"/>
    <x v="13"/>
    <n v="116.94545454545452"/>
    <n v="128.63999999999999"/>
    <n v="131"/>
    <n v="11.694545454545462"/>
  </r>
  <r>
    <s v="Unwanted 72"/>
    <s v="Vitamins/Minerals"/>
    <n v="1"/>
    <s v="Ram Agencies"/>
    <x v="13"/>
    <n v="457.9"/>
    <n v="503.69"/>
    <n v="513"/>
    <n v="45.79000000000002"/>
  </r>
  <r>
    <s v="Gluformin G2 Tabs"/>
    <s v="Diabetes"/>
    <n v="2"/>
    <s v="Ram Agencies"/>
    <x v="13"/>
    <n v="55.272727272727266"/>
    <n v="60.8"/>
    <n v="58.9"/>
    <n v="5.5272727272727309"/>
  </r>
  <r>
    <s v="Asthalin 4MG Tabs"/>
    <s v="Respiratory"/>
    <n v="3"/>
    <s v="Ram Agencies"/>
    <x v="13"/>
    <n v="198.79090909090905"/>
    <n v="218.67"/>
    <n v="445.4"/>
    <n v="19.879090909090934"/>
  </r>
  <r>
    <s v="Unwanted 21 Days"/>
    <s v="Vitamins/Minerals"/>
    <n v="1"/>
    <s v="Ram Agencies"/>
    <x v="13"/>
    <n v="10.8"/>
    <n v="11.88"/>
    <n v="36.200000000000003"/>
    <n v="1.08"/>
  </r>
  <r>
    <s v="Telma 40MG Tab"/>
    <s v="Cardiovascular"/>
    <n v="5"/>
    <s v="Ram Agencies"/>
    <x v="13"/>
    <n v="48.727272727272727"/>
    <n v="53.6"/>
    <n v="51.99"/>
    <n v="4.8727272727272748"/>
  </r>
  <r>
    <s v="Amlopin 5MG Tablets"/>
    <s v="Cardiovascular"/>
    <n v="10"/>
    <s v="Ram Agencies"/>
    <x v="13"/>
    <n v="147.4909090909091"/>
    <n v="162.24"/>
    <n v="826.2"/>
    <n v="14.74909090909091"/>
  </r>
  <r>
    <s v="Ketorol DT Tablets"/>
    <s v="Pain Relief"/>
    <n v="10"/>
    <s v="Ram Agencies"/>
    <x v="13"/>
    <n v="18.472727272727273"/>
    <n v="20.32"/>
    <n v="206.96"/>
    <n v="1.8472727272727276"/>
  </r>
  <r>
    <s v="Telmikind AM Tab"/>
    <s v="Cardiovascular"/>
    <n v="12"/>
    <s v="Ram Agencies"/>
    <x v="13"/>
    <n v="115.1"/>
    <n v="126.61"/>
    <n v="1289.52"/>
    <n v="11.510000000000005"/>
  </r>
  <r>
    <s v="Zincovit Syrup"/>
    <s v="Vitamins/Minerals"/>
    <n v="1"/>
    <s v="Ram Agencies"/>
    <x v="13"/>
    <n v="59.61818181818181"/>
    <n v="65.58"/>
    <n v="801.51"/>
    <n v="5.9618181818181881"/>
  </r>
  <r>
    <s v="Melalumin Under Eye Serum"/>
    <s v="Skincare"/>
    <n v="1"/>
    <s v="Mahaveer Medi Sales"/>
    <x v="13"/>
    <n v="585.5181818181818"/>
    <n v="644.07000000000005"/>
    <n v="737.21"/>
    <n v="58.551818181818248"/>
  </r>
  <r>
    <s v="LA Shield Max Sunscreen Lotion"/>
    <s v="Sunscreen"/>
    <n v="1"/>
    <s v="Mahaveer Medi Sales"/>
    <x v="13"/>
    <n v="563.94545454545448"/>
    <n v="620.34"/>
    <n v="710.05"/>
    <n v="56.39454545454555"/>
  </r>
  <r>
    <s v="Photon Sunscreen"/>
    <s v="Sunscreen"/>
    <n v="1"/>
    <s v="Mahaveer Medi Sales"/>
    <x v="13"/>
    <n v="468.67272727272723"/>
    <n v="515.54"/>
    <n v="590.09"/>
    <n v="46.867272727272734"/>
  </r>
  <r>
    <s v="Cuticlair Revive Face Serum"/>
    <s v="Skincare"/>
    <n v="2"/>
    <s v="RSM Pharma"/>
    <x v="14"/>
    <n v="632.99999999999989"/>
    <n v="696.3"/>
    <n v="1418.36"/>
    <n v="63.300000000000068"/>
  </r>
  <r>
    <s v="Nanofast Gel"/>
    <s v="Pain Relief"/>
    <n v="2"/>
    <s v="RSM Pharma"/>
    <x v="14"/>
    <n v="110.39090909090909"/>
    <n v="121.43"/>
    <n v="247.35"/>
    <n v="11.039090909090916"/>
  </r>
  <r>
    <s v="Renu MP 120ML Solution"/>
    <s v="Body Care"/>
    <n v="1"/>
    <s v="RSM Pharma"/>
    <x v="14"/>
    <n v="170.25454545454545"/>
    <n v="187.28"/>
    <n v="214.36"/>
    <n v="17.025454545454551"/>
  </r>
  <r>
    <s v="Imxia F 5% Solution"/>
    <s v="Body Care"/>
    <n v="1"/>
    <s v="RSM Pharma"/>
    <x v="14"/>
    <n v="551.94545454545448"/>
    <n v="607.14"/>
    <n v="618.37"/>
    <n v="55.194545454545505"/>
  </r>
  <r>
    <s v="Eltroxin 25MCG Tab"/>
    <s v="Vitamins/Minerals"/>
    <n v="1"/>
    <s v="RSM Pharma"/>
    <x v="14"/>
    <n v="127.86363636363636"/>
    <n v="140.65"/>
    <n v="143.25"/>
    <n v="12.786363636363646"/>
  </r>
  <r>
    <s v="Momate Cream 20GMS"/>
    <s v="Anti-microbial"/>
    <n v="1"/>
    <s v="RSM Pharma"/>
    <x v="14"/>
    <n v="211.0363636363636"/>
    <n v="232.14"/>
    <n v="236.44"/>
    <n v="21.103636363636383"/>
  </r>
  <r>
    <s v="Optineuron INJ"/>
    <s v="Vitamins/Minerals"/>
    <n v="3"/>
    <s v="Mahaveer Medi Sales"/>
    <x v="14"/>
    <n v="90.272727272727266"/>
    <n v="99.3"/>
    <n v="303.39999999999998"/>
    <n v="9.0272727272727309"/>
  </r>
  <r>
    <s v="Translol XL-50 Tab"/>
    <s v="Cardiovascular"/>
    <n v="3"/>
    <s v="Mahaveer Medi Sales"/>
    <x v="14"/>
    <n v="38.54545454545454"/>
    <n v="42.4"/>
    <n v="129.54"/>
    <n v="3.8545454545454589"/>
  </r>
  <r>
    <s v="Sino D3 Cap(60K)"/>
    <s v="Vitamins/Minerals"/>
    <n v="1"/>
    <s v="Mahaveer Medi Sales"/>
    <x v="14"/>
    <n v="77.918181818181807"/>
    <n v="85.71"/>
    <n v="87.3"/>
    <n v="7.7918181818181864"/>
  </r>
  <r>
    <s v="Momentsone Cream"/>
    <s v="Anti-microbial"/>
    <n v="4"/>
    <s v="Mahaveer Medi Sales"/>
    <x v="14"/>
    <n v="238"/>
    <n v="261.8"/>
    <n v="1066.56"/>
    <n v="23.800000000000011"/>
  </r>
  <r>
    <s v="Ethiglo Serum"/>
    <s v="Skincare"/>
    <n v="1"/>
    <s v="Mahaveer Medi Sales"/>
    <x v="14"/>
    <n v="1085.1363636363637"/>
    <n v="1193.6500000000001"/>
    <n v="1366.26"/>
    <n v="108.51363636363635"/>
  </r>
  <r>
    <s v="Clocip B Cream"/>
    <s v="Anti-microbial"/>
    <n v="2"/>
    <s v="Mahaveer Medi Sales"/>
    <x v="14"/>
    <n v="45.354545454545452"/>
    <n v="49.89"/>
    <n v="52.39"/>
    <n v="4.5354545454545487"/>
  </r>
  <r>
    <s v="Glucreta M 10+500MG Tab"/>
    <s v="Diabetes"/>
    <n v="2"/>
    <s v="Mahaveer Medi Sales"/>
    <x v="14"/>
    <n v="111.98181818181818"/>
    <n v="123.18"/>
    <n v="250.91"/>
    <n v="11.198181818181823"/>
  </r>
  <r>
    <s v="Softovac 250GM"/>
    <s v="Gastro Tabs"/>
    <n v="1"/>
    <s v="Mahaveer Medi Sales"/>
    <x v="14"/>
    <n v="308.44545454545454"/>
    <n v="339.29"/>
    <n v="345.57"/>
    <n v="30.844545454545482"/>
  </r>
  <r>
    <s v="Hadensa Oint"/>
    <s v="First Aid"/>
    <n v="1"/>
    <s v="Mahaveer Medi Sales"/>
    <x v="14"/>
    <n v="97.399999999999991"/>
    <n v="107.14"/>
    <n v="109.13"/>
    <n v="9.7400000000000091"/>
  </r>
  <r>
    <s v="Thyronorm 75MCG"/>
    <s v="Vitamins/Minerals"/>
    <n v="1"/>
    <s v="Mahaveer Medi Sales"/>
    <x v="14"/>
    <n v="127.42727272727271"/>
    <n v="140.16999999999999"/>
    <n v="142.76"/>
    <n v="12.742727272727279"/>
  </r>
  <r>
    <s v="Alkof DX Cough SYP"/>
    <s v="Cold/Cough"/>
    <n v="3"/>
    <s v="Mahaveer Medi Sales"/>
    <x v="14"/>
    <n v="25.818181818181817"/>
    <n v="28.4"/>
    <n v="89.46"/>
    <n v="2.581818181818182"/>
  </r>
  <r>
    <s v="EASI Breathe Caps"/>
    <s v="Respiratory"/>
    <n v="38"/>
    <s v="Mahaveer Medi Sales"/>
    <x v="14"/>
    <n v="21.499999999999996"/>
    <n v="23.65"/>
    <n v="943.64"/>
    <n v="2.1500000000000021"/>
  </r>
  <r>
    <s v="Eltroxin 50 MCG Tab"/>
    <s v="Vitamins/Minerals"/>
    <n v="1"/>
    <s v="Mahaveer Medi Sales"/>
    <x v="15"/>
    <n v="78.972727272727269"/>
    <n v="86.87"/>
    <n v="88.43"/>
    <n v="7.8972727272727354"/>
  </r>
  <r>
    <s v="Disokem Lotion"/>
    <s v="Skincare"/>
    <n v="2"/>
    <s v="JMJ Pharma"/>
    <x v="15"/>
    <n v="202.24545454545452"/>
    <n v="222.47"/>
    <n v="4894.34"/>
    <n v="20.224545454545478"/>
  </r>
  <r>
    <s v="Fairvit Soap"/>
    <s v="Skincare"/>
    <n v="5"/>
    <s v="JMJ Pharma"/>
    <x v="15"/>
    <n v="78.272727272727266"/>
    <n v="86.1"/>
    <n v="4375.5"/>
    <n v="7.827272727272728"/>
  </r>
  <r>
    <s v="Minoking-50 DT"/>
    <s v="Pain Relief"/>
    <n v="2"/>
    <s v="JMJ Pharma"/>
    <x v="15"/>
    <n v="187.0090909090909"/>
    <n v="205.71"/>
    <n v="4525.62"/>
    <n v="18.700909090909107"/>
  </r>
  <r>
    <s v="Tacroz Forte Oint"/>
    <s v="Immunosuppressant"/>
    <n v="1"/>
    <s v="Tulsi Corporation"/>
    <x v="15"/>
    <n v="357.14545454545453"/>
    <n v="392.86"/>
    <n v="400.12"/>
    <n v="35.714545454545487"/>
  </r>
  <r>
    <s v="MOX 250 Caps"/>
    <s v="Anti-microbial"/>
    <n v="2"/>
    <s v="Tulsi Corporation"/>
    <x v="15"/>
    <n v="27.054545454545455"/>
    <n v="29.76"/>
    <n v="60.62"/>
    <n v="2.7054545454545469"/>
  </r>
  <r>
    <s v="Zedex 100ml Syrup"/>
    <s v="Cold/Cough"/>
    <n v="1"/>
    <s v="Tulsi Corporation"/>
    <x v="15"/>
    <n v="124.34545454545453"/>
    <n v="136.78"/>
    <n v="139.32"/>
    <n v="12.434545454545471"/>
  </r>
  <r>
    <s v="Thickify Ampm Tab"/>
    <s v="Vitamins/Minerals"/>
    <n v="6"/>
    <s v="Tulsi Corporation"/>
    <x v="15"/>
    <n v="252.70000000000002"/>
    <n v="277.97000000000003"/>
    <n v="1415.69"/>
    <n v="25.27000000000001"/>
  </r>
  <r>
    <s v="Nexpro RD 40MG Caps"/>
    <s v="Gastro Tabs"/>
    <n v="1"/>
    <s v="Tulsi Corporation"/>
    <x v="15"/>
    <n v="126.62727272727271"/>
    <n v="139.29"/>
    <n v="141.85"/>
    <n v="12.662727272727281"/>
  </r>
  <r>
    <s v="Glutaclair Tablet"/>
    <s v="Skincare"/>
    <n v="10"/>
    <s v="Pride Pharma "/>
    <x v="16"/>
    <n v="951.5454545454545"/>
    <n v="1046.7"/>
    <n v="12351"/>
    <n v="95.154545454545541"/>
  </r>
  <r>
    <s v="Amorolkite Cream"/>
    <s v="Anti-microbial"/>
    <n v="5"/>
    <s v="Pride Pharma "/>
    <x v="16"/>
    <n v="373.99999999999994"/>
    <n v="411.4"/>
    <n v="2057"/>
    <n v="37.400000000000034"/>
  </r>
  <r>
    <s v="Cuticlair Anti Acne Face Serum"/>
    <s v="Skincare"/>
    <n v="5"/>
    <s v="Pride Pharma "/>
    <x v="16"/>
    <n v="588.69090909090903"/>
    <n v="647.55999999999995"/>
    <n v="3237.8"/>
    <n v="58.869090909090914"/>
  </r>
  <r>
    <s v="Ebruma Cream"/>
    <s v="Anti-microbial"/>
    <n v="5"/>
    <s v="Pride Pharma "/>
    <x v="16"/>
    <n v="373.99999999999994"/>
    <n v="411.4"/>
    <n v="2047"/>
    <n v="37.400000000000034"/>
  </r>
  <r>
    <s v="Lulifight "/>
    <s v="Anti-microbial"/>
    <n v="10"/>
    <s v="Pride Pharma "/>
    <x v="16"/>
    <n v="193.79999999999998"/>
    <n v="213.18"/>
    <n v="2131"/>
    <n v="19.380000000000024"/>
  </r>
  <r>
    <s v="Lulikite Cream"/>
    <s v="Anti-microbial"/>
    <n v="5"/>
    <s v="Pride Pharma "/>
    <x v="16"/>
    <n v="306"/>
    <n v="336.6"/>
    <n v="1683"/>
    <n v="30.600000000000023"/>
  </r>
  <r>
    <s v="Momentsone Cream"/>
    <s v="Anti-microbial"/>
    <n v="5"/>
    <s v="Pride Pharma "/>
    <x v="16"/>
    <n v="238"/>
    <n v="261.8"/>
    <n v="1309"/>
    <n v="23.800000000000011"/>
  </r>
  <r>
    <s v="Pepgain Advance Tablet"/>
    <s v="Vitamins/Minerals"/>
    <n v="5"/>
    <s v="Pride Pharma "/>
    <x v="16"/>
    <n v="538.59090909090912"/>
    <n v="592.45000000000005"/>
    <n v="2962.25"/>
    <n v="53.859090909090924"/>
  </r>
  <r>
    <s v="Sunshield Sunscreen SPF"/>
    <s v="Sunscreen"/>
    <n v="5"/>
    <s v="Pride Pharma "/>
    <x v="16"/>
    <n v="601.95454545454538"/>
    <n v="662.15"/>
    <n v="3310.75"/>
    <n v="60.195454545454595"/>
  </r>
  <r>
    <s v="Cuticlair Advance Foaming F/W"/>
    <s v="Skincare"/>
    <n v="10"/>
    <s v="Pride Pharma "/>
    <x v="16"/>
    <n v="395.5"/>
    <n v="435.05"/>
    <n v="4530.5"/>
    <n v="39.550000000000011"/>
  </r>
  <r>
    <s v="Momentsone Cream"/>
    <s v="Anti-microbial"/>
    <n v="10"/>
    <s v="Pride Pharma "/>
    <x v="16"/>
    <n v="238"/>
    <n v="261.8"/>
    <n v="2618"/>
    <n v="23.800000000000011"/>
  </r>
  <r>
    <s v="Pepgain MF Forte Solution"/>
    <s v="Body Care"/>
    <n v="5"/>
    <s v="Pride Pharma "/>
    <x v="17"/>
    <n v="1326.3636363636363"/>
    <n v="1459"/>
    <n v="7295"/>
    <n v="132.63636363636374"/>
  </r>
  <r>
    <s v="Cuticlair Body Acne Spray"/>
    <s v="Skincare"/>
    <n v="5"/>
    <s v="Pride Pharma "/>
    <x v="17"/>
    <n v="379.5454545454545"/>
    <n v="417.5"/>
    <n v="2087.5"/>
    <n v="37.954545454545496"/>
  </r>
  <r>
    <s v="Ebruma Cream"/>
    <s v="Anti-microbial"/>
    <n v="5"/>
    <s v="Pride Pharma "/>
    <x v="17"/>
    <n v="373.99999999999994"/>
    <n v="411.4"/>
    <n v="2057"/>
    <n v="37.400000000000034"/>
  </r>
  <r>
    <s v="Momentsone Cream"/>
    <s v="Anti-microbial"/>
    <n v="10"/>
    <s v="Pride Pharma "/>
    <x v="17"/>
    <n v="238"/>
    <n v="261.8"/>
    <n v="2618"/>
    <n v="23.800000000000011"/>
  </r>
  <r>
    <s v="Momentsone F Cream"/>
    <s v="Anti-microbial"/>
    <n v="10"/>
    <s v="Pride Pharma "/>
    <x v="17"/>
    <n v="306.30909090909086"/>
    <n v="336.94"/>
    <n v="3369.4"/>
    <n v="30.630909090909142"/>
  </r>
  <r>
    <s v="Pepgain Eva Tablet"/>
    <s v="Vitamins/Minerals"/>
    <n v="5"/>
    <s v="Pride Pharma "/>
    <x v="17"/>
    <n v="538.59090909090912"/>
    <n v="592.45000000000005"/>
    <n v="2962.25"/>
    <n v="53.859090909090924"/>
  </r>
  <r>
    <s v="Cuticlair Revive Face Serum"/>
    <s v="Skincare"/>
    <n v="5"/>
    <s v="Pride Pharma "/>
    <x v="17"/>
    <n v="632.99999999999989"/>
    <n v="696.3"/>
    <n v="3481.5"/>
    <n v="63.300000000000068"/>
  </r>
  <r>
    <s v="Cuticlair Advance Foaming F/W"/>
    <s v="Skincare"/>
    <n v="10"/>
    <s v="Pride Pharma "/>
    <x v="17"/>
    <n v="411.86363636363632"/>
    <n v="453.05"/>
    <n v="4530.5"/>
    <n v="41.186363636363694"/>
  </r>
  <r>
    <s v="Cuticlair Anti Acne Face Serum"/>
    <s v="Skincare"/>
    <n v="5"/>
    <s v="Pride Pharma "/>
    <x v="18"/>
    <n v="588.69090909090903"/>
    <n v="647.55999999999995"/>
    <n v="3237.8"/>
    <n v="58.869090909090914"/>
  </r>
  <r>
    <s v="Ketobright Shampoo"/>
    <s v="Body Care"/>
    <n v="5"/>
    <s v="Pride Pharma "/>
    <x v="18"/>
    <n v="265.4909090909091"/>
    <n v="292.04000000000002"/>
    <n v="1460.2"/>
    <n v="26.549090909090921"/>
  </r>
  <r>
    <s v="Neuroprime Plus Capsules"/>
    <s v="Vitamins/Minerals"/>
    <n v="2"/>
    <s v="Mahaveer Medi Sales"/>
    <x v="18"/>
    <n v="161.69090909090909"/>
    <n v="177.86"/>
    <n v="386.45"/>
    <n v="16.169090909090926"/>
  </r>
  <r>
    <s v="Allsuth Lotion"/>
    <s v="Skincare"/>
    <n v="1"/>
    <s v="Mahaveer Medi Sales"/>
    <x v="18"/>
    <n v="183.1090909090909"/>
    <n v="201.42"/>
    <n v="218.82"/>
    <n v="18.310909090909092"/>
  </r>
  <r>
    <s v="Cilnipres T Tab"/>
    <s v="Cardiovascular"/>
    <n v="3"/>
    <s v="Mahaveer Medi Sales"/>
    <x v="18"/>
    <n v="74.290909090909082"/>
    <n v="81.72"/>
    <n v="266.35000000000002"/>
    <n v="7.4290909090909167"/>
  </r>
  <r>
    <s v="Empaone 25MG Tab"/>
    <s v="Diabetes"/>
    <n v="3"/>
    <s v="Mahaveer Medi Sales"/>
    <x v="18"/>
    <n v="107.14545454545454"/>
    <n v="117.86"/>
    <n v="384.13"/>
    <n v="10.714545454545458"/>
  </r>
  <r>
    <s v="Tolaz DT 5MG Tab"/>
    <s v="Pain Relief"/>
    <n v="4"/>
    <s v="Mahaveer Medi Sales"/>
    <x v="18"/>
    <n v="61.945454545454538"/>
    <n v="68.14"/>
    <n v="296.16000000000003"/>
    <n v="6.1945454545454623"/>
  </r>
  <r>
    <s v="Rosmi 10MG Tab"/>
    <s v="Cardiovascular"/>
    <n v="2"/>
    <s v="Mahaveer Medi Sales"/>
    <x v="18"/>
    <n v="90.263636363636365"/>
    <n v="99.29"/>
    <n v="215.74"/>
    <n v="9.0263636363636408"/>
  </r>
  <r>
    <s v="C-PRO Cream 30GM"/>
    <s v="Skincare"/>
    <n v="2"/>
    <s v="Mahaveer Medi Sales"/>
    <x v="18"/>
    <n v="146.1"/>
    <n v="160.71"/>
    <n v="349.2"/>
    <n v="14.610000000000014"/>
  </r>
  <r>
    <s v="Siotone Cap"/>
    <s v="Vitamins/Minerals"/>
    <n v="3"/>
    <s v="RSM Pharma"/>
    <x v="18"/>
    <n v="131.65454545454543"/>
    <n v="144.82"/>
    <n v="422.58"/>
    <n v="13.165454545454566"/>
  </r>
  <r>
    <s v="Siotone Cap"/>
    <s v="Vitamins/Minerals"/>
    <n v="7"/>
    <s v="RSM Pharma"/>
    <x v="18"/>
    <n v="131.65454545454543"/>
    <n v="144.82"/>
    <n v="986.04"/>
    <n v="13.165454545454566"/>
  </r>
  <r>
    <s v="4U-Q10 Plus Cap"/>
    <s v="Vitamins/Minerals"/>
    <n v="2"/>
    <s v="RSM Pharma"/>
    <x v="18"/>
    <n v="373.21818181818179"/>
    <n v="410.54"/>
    <n v="761"/>
    <n v="37.32181818181823"/>
  </r>
  <r>
    <s v="4U-Q10 Plus Cap"/>
    <s v="Vitamins/Minerals"/>
    <n v="3"/>
    <s v="RSM Pharma"/>
    <x v="18"/>
    <n v="373.21818181818179"/>
    <n v="410.54"/>
    <n v="1141.52"/>
    <n v="37.32181818181823"/>
  </r>
  <r>
    <s v="Suprafung Cream 50GM"/>
    <s v="Anti-microbial"/>
    <n v="1"/>
    <s v="RSM Pharma"/>
    <x v="18"/>
    <n v="227.27272727272725"/>
    <n v="250"/>
    <n v="254.62"/>
    <n v="22.727272727272748"/>
  </r>
  <r>
    <s v="Glycomet GP 1 Tabs"/>
    <s v="Diabetes"/>
    <n v="6"/>
    <s v="RSM Pharma"/>
    <x v="18"/>
    <n v="108.40909090909091"/>
    <n v="119.25"/>
    <n v="728.74"/>
    <n v="10.840909090909093"/>
  </r>
  <r>
    <s v="Dapanorm Trio Forte Tab"/>
    <s v="Diabetes"/>
    <n v="2"/>
    <s v="RSM Pharma"/>
    <x v="18"/>
    <n v="160.71818181818179"/>
    <n v="176.79"/>
    <n v="360.11"/>
    <n v="16.071818181818202"/>
  </r>
  <r>
    <s v="Ciplox D Eye Drops"/>
    <s v="Body Care"/>
    <n v="19"/>
    <s v="RSM Pharma"/>
    <x v="10"/>
    <n v="18.963636363636361"/>
    <n v="20.86"/>
    <n v="403.67"/>
    <n v="1.8963636363636382"/>
  </r>
  <r>
    <s v="Lubrex Eye Drops"/>
    <s v="Body Care"/>
    <n v="2"/>
    <s v="RSM Pharma"/>
    <x v="10"/>
    <n v="89.454545454545453"/>
    <n v="98.4"/>
    <n v="200.44"/>
    <n v="8.9454545454545524"/>
  </r>
  <r>
    <s v="Allegra 180MG Tab"/>
    <s v="Anti-microbial"/>
    <n v="6"/>
    <s v="RSM Pharma"/>
    <x v="10"/>
    <n v="196.5"/>
    <n v="216.15"/>
    <n v="1320.89"/>
    <n v="19.650000000000006"/>
  </r>
  <r>
    <s v="Jointace Tab"/>
    <s v="Vitamins/Minerals"/>
    <n v="1"/>
    <s v="RSM Pharma"/>
    <x v="10"/>
    <n v="87.663636363636357"/>
    <n v="96.43"/>
    <n v="98.22"/>
    <n v="8.7663636363636499"/>
  </r>
  <r>
    <s v="Hansaplast WaterProof "/>
    <s v="First Aid"/>
    <n v="2"/>
    <s v="RSM Pharma"/>
    <x v="10"/>
    <n v="163.63636363636363"/>
    <n v="180"/>
    <n v="278"/>
    <n v="16.363636363636374"/>
  </r>
  <r>
    <s v="Claribid 250MG Tab"/>
    <s v="Anti-microbial"/>
    <n v="1"/>
    <s v="RSM Pharma"/>
    <x v="10"/>
    <n v="178.04545454545453"/>
    <n v="195.85"/>
    <n v="199.47"/>
    <n v="17.804545454545462"/>
  </r>
  <r>
    <s v="Dermadew Soap"/>
    <s v="Skincare"/>
    <n v="6"/>
    <s v="RSM Pharma"/>
    <x v="10"/>
    <n v="107.24545454545454"/>
    <n v="117.97"/>
    <n v="720.91"/>
    <n v="10.724545454545463"/>
  </r>
  <r>
    <s v="Ulgeraft Syrup "/>
    <s v="Gastro Tabs"/>
    <n v="3"/>
    <s v="Ram Agencies"/>
    <x v="10"/>
    <n v="145.32727272727271"/>
    <n v="159.86000000000001"/>
    <n v="488.45"/>
    <n v="14.5327272727273"/>
  </r>
  <r>
    <s v="Olesoft Lite Moisturize"/>
    <s v="Skincare"/>
    <n v="3"/>
    <s v="Ram Agencies"/>
    <x v="10"/>
    <n v="322.34545454545452"/>
    <n v="354.58"/>
    <n v="1217.55"/>
    <n v="32.234545454545469"/>
  </r>
  <r>
    <s v="Acnemoist Cream"/>
    <s v="Skincare"/>
    <n v="1"/>
    <s v="Ram Agencies"/>
    <x v="10"/>
    <n v="277.0454545454545"/>
    <n v="304.75"/>
    <n v="348.81"/>
    <n v="27.704545454545496"/>
  </r>
  <r>
    <s v="Suncros Neo Gel"/>
    <s v="Sunscreen"/>
    <n v="2"/>
    <s v="Ram Agencies"/>
    <x v="10"/>
    <n v="523.88181818181818"/>
    <n v="576.27"/>
    <n v="1319.2"/>
    <n v="52.388181818181806"/>
  </r>
  <r>
    <s v="Stalix D 10+ 100MG Tabs"/>
    <s v="Pain Relief"/>
    <n v="3"/>
    <s v="Ram Agencies"/>
    <x v="10"/>
    <n v="151.40909090909091"/>
    <n v="166.55"/>
    <n v="508.9"/>
    <n v="15.140909090909105"/>
  </r>
  <r>
    <s v="Dermadew Soap"/>
    <s v="Skincare"/>
    <n v="2"/>
    <s v="Ram Agencies"/>
    <x v="10"/>
    <n v="122.03636363636363"/>
    <n v="134.24"/>
    <n v="273.45"/>
    <n v="12.203636363636377"/>
  </r>
  <r>
    <s v="Aciloc 150 Tab"/>
    <s v="Gastro Tabs"/>
    <n v="1"/>
    <s v="Ram Agencies"/>
    <x v="10"/>
    <n v="34.93636363636363"/>
    <n v="38.43"/>
    <n v="39.14"/>
    <n v="3.4936363636363694"/>
  </r>
  <r>
    <s v="Bimat LS Eye Drops"/>
    <s v="Body Care"/>
    <n v="1"/>
    <s v="Ram Agencies"/>
    <x v="10"/>
    <n v="188.30909090909088"/>
    <n v="207.14"/>
    <n v="210.97"/>
    <n v="18.830909090909103"/>
  </r>
  <r>
    <s v="Megaheal Gel 50GM"/>
    <s v="First Aid"/>
    <n v="1"/>
    <s v="Ram Agencies"/>
    <x v="10"/>
    <n v="243.5090909090909"/>
    <n v="267.86"/>
    <n v="272.82"/>
    <n v="24.350909090909113"/>
  </r>
  <r>
    <s v="Orvas 10MG Tabs"/>
    <s v="Cardiovascular"/>
    <n v="2"/>
    <s v="Ram Agencies"/>
    <x v="10"/>
    <n v="30.9"/>
    <n v="33.99"/>
    <n v="69.239999999999995"/>
    <n v="3.0900000000000034"/>
  </r>
  <r>
    <s v="Jointace Tab"/>
    <s v="Vitamins/Minerals"/>
    <n v="1"/>
    <s v="Ram Agencies"/>
    <x v="10"/>
    <n v="87.272727272727266"/>
    <n v="96"/>
    <n v="97.78"/>
    <n v="8.7272727272727337"/>
  </r>
  <r>
    <s v="Lubrex Eye Drops"/>
    <s v="Body Care"/>
    <n v="2"/>
    <s v="Ram Agencies"/>
    <x v="10"/>
    <n v="89.418181818181807"/>
    <n v="98.36"/>
    <n v="200.36"/>
    <n v="8.9418181818181921"/>
  </r>
  <r>
    <s v="Nucoxia 90 Tab"/>
    <s v="Pain Relief"/>
    <n v="1"/>
    <s v="Ram Agencies"/>
    <x v="10"/>
    <n v="219.93636363636364"/>
    <n v="241.93"/>
    <n v="246.41"/>
    <n v="21.993636363636369"/>
  </r>
  <r>
    <s v="Suncros Soft Gel"/>
    <s v="Sunscreen"/>
    <n v="2"/>
    <s v="Ram Agencies"/>
    <x v="19"/>
    <n v="511.55454545454546"/>
    <n v="562.71"/>
    <n v="1288.1600000000001"/>
    <n v="51.155454545454575"/>
  </r>
  <r>
    <s v="Tripide 2MG Tab"/>
    <s v="Pain Relief"/>
    <n v="3"/>
    <s v="Ram Agencies"/>
    <x v="19"/>
    <n v="229.81818181818181"/>
    <n v="252.8"/>
    <n v="772.43"/>
    <n v="22.981818181818198"/>
  </r>
  <r>
    <s v="Tenefit M Tab"/>
    <s v="Diabetes"/>
    <n v="1"/>
    <s v="Ram Agencies"/>
    <x v="19"/>
    <n v="98.372727272727261"/>
    <n v="108.21"/>
    <n v="110.2"/>
    <n v="9.8372727272727332"/>
  </r>
  <r>
    <s v="Glycomet 500 SR Tabs"/>
    <s v="Diabetes"/>
    <n v="10"/>
    <s v="Ram Agencies"/>
    <x v="19"/>
    <n v="29.072727272727271"/>
    <n v="31.98"/>
    <n v="329.08"/>
    <n v="2.9072727272727299"/>
  </r>
  <r>
    <s v="Clohex 150 ML"/>
    <s v="Body Care"/>
    <n v="1"/>
    <s v="Ram Agencies"/>
    <x v="19"/>
    <n v="128.23636363636362"/>
    <n v="141.06"/>
    <n v="143.66999999999999"/>
    <n v="12.823636363636382"/>
  </r>
  <r>
    <s v="Concor 5 Tabs"/>
    <s v="Cardiovascular"/>
    <n v="3"/>
    <s v="Ram Agencies"/>
    <x v="19"/>
    <n v="91.554545454545448"/>
    <n v="100.71"/>
    <n v="307.73"/>
    <n v="9.1554545454545462"/>
  </r>
  <r>
    <s v="Melaglow New Cream"/>
    <s v="Skincare"/>
    <n v="1"/>
    <s v="Ram Agencies"/>
    <x v="19"/>
    <n v="272.41818181818184"/>
    <n v="299.66000000000003"/>
    <n v="342.99"/>
    <n v="27.241818181818189"/>
  </r>
  <r>
    <s v="Pynomax TX Face Serum"/>
    <s v="Skincare"/>
    <n v="5"/>
    <s v="Avenues Pharma "/>
    <x v="19"/>
    <n v="372.72727272727269"/>
    <n v="410"/>
    <n v="2346.44"/>
    <n v="37.272727272727309"/>
  </r>
  <r>
    <s v="Nezaflo Nasal Spray"/>
    <s v="Cold/Cough"/>
    <n v="1"/>
    <s v="Mahaveer Medi Sales"/>
    <x v="20"/>
    <n v="292.20909090909089"/>
    <n v="321.43"/>
    <n v="327.37"/>
    <n v="29.220909090909117"/>
  </r>
  <r>
    <s v="Keto B Cream"/>
    <s v="Anti-microbial"/>
    <n v="1"/>
    <s v="Mahaveer Medi Sales"/>
    <x v="20"/>
    <n v="103.24545454545454"/>
    <n v="113.57"/>
    <n v="115.66"/>
    <n v="10.324545454545458"/>
  </r>
  <r>
    <s v="Clearwax Ear Drops"/>
    <s v="Body Care"/>
    <n v="3"/>
    <s v="Mahaveer Medi Sales"/>
    <x v="20"/>
    <n v="27.09090909090909"/>
    <n v="29.8"/>
    <n v="93.88"/>
    <n v="2.7090909090909108"/>
  </r>
  <r>
    <s v="Trapic MF Tab"/>
    <s v="Pain Relief"/>
    <n v="1"/>
    <s v="Mahaveer Medi Sales"/>
    <x v="20"/>
    <n v="314.93636363636364"/>
    <n v="346.43"/>
    <n v="352.84"/>
    <n v="31.493636363636369"/>
  </r>
  <r>
    <s v="Reactin 50MG Tab"/>
    <s v="Pain Relief"/>
    <n v="10"/>
    <s v="Mahaveer Medi Sales"/>
    <x v="20"/>
    <n v="6.8909090909090907"/>
    <n v="7.58"/>
    <n v="79.599999999999994"/>
    <n v="0.68909090909090942"/>
  </r>
  <r>
    <s v="Remetor F"/>
    <s v="Cardiovascular"/>
    <n v="4"/>
    <s v="Mahaveer Medi Sales"/>
    <x v="20"/>
    <n v="112.99090909090908"/>
    <n v="124.29"/>
    <n v="506.37"/>
    <n v="11.299090909090921"/>
  </r>
  <r>
    <s v="Remetor F"/>
    <s v="Cardiovascular"/>
    <n v="1"/>
    <s v="Mahaveer Medi Sales"/>
    <x v="20"/>
    <n v="112.99090909090908"/>
    <n v="124.29"/>
    <n v="126.58"/>
    <n v="11.299090909090921"/>
  </r>
  <r>
    <s v="Dermadew Aloe Plus"/>
    <s v="Skincare"/>
    <n v="1"/>
    <s v="Ram Agencies"/>
    <x v="20"/>
    <n v="155.31818181818181"/>
    <n v="170.85"/>
    <n v="195.54"/>
    <n v="15.531818181818181"/>
  </r>
  <r>
    <s v="Medomol SP Tabs"/>
    <s v="Pain Relief"/>
    <n v="10"/>
    <s v="Ram Agencies"/>
    <x v="20"/>
    <n v="81.818181818181813"/>
    <n v="90"/>
    <n v="916.66"/>
    <n v="8.181818181818187"/>
  </r>
  <r>
    <s v="Becosules Plus Syrup"/>
    <s v="Vitamins/Minerals"/>
    <n v="1"/>
    <s v="Ram Agencies"/>
    <x v="20"/>
    <n v="71.418181818181822"/>
    <n v="78.56"/>
    <n v="80.02"/>
    <n v="7.1418181818181807"/>
  </r>
  <r>
    <s v="Eltroxin Tablets"/>
    <s v="Vitamins/Minerals"/>
    <n v="1"/>
    <s v="Ram Agencies"/>
    <x v="20"/>
    <n v="78.98181818181817"/>
    <n v="86.88"/>
    <n v="88.49"/>
    <n v="7.8981818181818255"/>
  </r>
  <r>
    <s v="Levipil 250MG Tab"/>
    <s v="Pain Relief"/>
    <n v="3"/>
    <s v="Ram Agencies"/>
    <x v="20"/>
    <n v="46.609090909090909"/>
    <n v="51.27"/>
    <n v="156.66"/>
    <n v="4.6609090909090938"/>
  </r>
  <r>
    <s v="Volini Maxx Spray "/>
    <s v="Pain Relief"/>
    <n v="4"/>
    <s v="Ram Agencies"/>
    <x v="20"/>
    <n v="155.14545454545453"/>
    <n v="170.66"/>
    <n v="695.26"/>
    <n v="15.51454545454547"/>
  </r>
  <r>
    <s v="Electral Powder(BIG)"/>
    <s v="Vitamins/Minerals"/>
    <n v="28"/>
    <s v="Ram Agencies"/>
    <x v="20"/>
    <n v="15.963636363636361"/>
    <n v="17.559999999999999"/>
    <n v="500.72"/>
    <n v="1.5963636363636375"/>
  </r>
  <r>
    <s v="Triobimet 2"/>
    <s v="Diabetes"/>
    <n v="6"/>
    <s v="Ram Agencies"/>
    <x v="20"/>
    <n v="159.19090909090909"/>
    <n v="175.11"/>
    <n v="1070.0999999999999"/>
    <n v="15.919090909090926"/>
  </r>
  <r>
    <s v="Tazloc Trio 40 Tabs"/>
    <s v="Cardiovascular"/>
    <n v="4"/>
    <s v="Ram Agencies"/>
    <x v="20"/>
    <n v="114.55454545454545"/>
    <n v="126.01"/>
    <n v="513.6"/>
    <n v="11.455454545454558"/>
  </r>
  <r>
    <s v="Emolene Cream"/>
    <s v="Skincare"/>
    <n v="2"/>
    <s v="Ram Agencies"/>
    <x v="20"/>
    <n v="246.75454545454545"/>
    <n v="271.43"/>
    <n v="552.89"/>
    <n v="24.675454545454556"/>
  </r>
  <r>
    <s v="Farehance Brightening Serum"/>
    <s v="Skincare"/>
    <n v="2"/>
    <s v="Avenues Pharma "/>
    <x v="20"/>
    <n v="874.96363636363628"/>
    <n v="962.46"/>
    <n v="1960.53"/>
    <n v="87.496363636363753"/>
  </r>
  <r>
    <s v="Behance Sunscreen"/>
    <s v="Sunscreen"/>
    <n v="2"/>
    <s v="Avenues Pharma "/>
    <x v="20"/>
    <n v="555.29999999999995"/>
    <n v="610.83000000000004"/>
    <n v="1244.27"/>
    <n v="55.530000000000086"/>
  </r>
  <r>
    <s v="Amrfy Cream"/>
    <s v="Skincare"/>
    <n v="3"/>
    <s v="Avenues Pharma "/>
    <x v="20"/>
    <n v="259.09090909090907"/>
    <n v="285"/>
    <n v="870.81"/>
    <n v="25.909090909090935"/>
  </r>
  <r>
    <s v="Eyecirque Advance"/>
    <s v="Body Care"/>
    <n v="3"/>
    <s v="Avenues Pharma "/>
    <x v="20"/>
    <n v="501.08181818181816"/>
    <n v="551.19000000000005"/>
    <n v="1684.16"/>
    <n v="50.10818181818189"/>
  </r>
  <r>
    <s v="Acnewin Face Wash"/>
    <s v="Skincare"/>
    <n v="3"/>
    <s v="Mahaveer Medi Sales"/>
    <x v="20"/>
    <n v="155.87272727272727"/>
    <n v="171.46"/>
    <n v="529.29"/>
    <n v="15.587272727272733"/>
  </r>
  <r>
    <s v="Omnigel 50GM"/>
    <s v="Pain Relief"/>
    <n v="2"/>
    <s v="Mahaveer Medi Sales"/>
    <x v="20"/>
    <n v="80.590909090909093"/>
    <n v="88.65"/>
    <n v="186.16"/>
    <n v="8.0590909090909122"/>
  </r>
  <r>
    <s v="Clop S Nano Lotion"/>
    <s v="Anti-microbial"/>
    <n v="1"/>
    <s v="Mahaveer Medi Sales"/>
    <x v="20"/>
    <n v="150.35454545454542"/>
    <n v="165.39"/>
    <n v="168.45"/>
    <n v="15.03545454545457"/>
  </r>
  <r>
    <s v="Meprate 10MG Tab"/>
    <s v="Vitamins/Minerals"/>
    <n v="3"/>
    <s v="Mahaveer Medi Sales"/>
    <x v="20"/>
    <n v="48.454545454545446"/>
    <n v="53.3"/>
    <n v="162.86000000000001"/>
    <n v="4.845454545454551"/>
  </r>
  <r>
    <s v="Ebal 20"/>
    <s v="Body Care"/>
    <n v="12"/>
    <s v="Mahaveer Medi Sales"/>
    <x v="20"/>
    <n v="74.345454545454544"/>
    <n v="81.78"/>
    <n v="832.93"/>
    <n v="7.4345454545454572"/>
  </r>
  <r>
    <s v="Folica Hair Tincture"/>
    <s v="Body Care"/>
    <n v="1"/>
    <s v="Mahaveer Medi Sales"/>
    <x v="20"/>
    <n v="206.49090909090907"/>
    <n v="227.14"/>
    <n v="231.35"/>
    <n v="20.649090909090916"/>
  </r>
  <r>
    <s v="Maxirich Multivitamins Caps"/>
    <s v="Vitamins/Minerals"/>
    <n v="6"/>
    <s v="Mahaveer Medi Sales"/>
    <x v="21"/>
    <n v="79.490909090909085"/>
    <n v="87.44"/>
    <n v="178.11"/>
    <n v="7.9490909090909128"/>
  </r>
  <r>
    <s v="Cipcal D3 Caps"/>
    <s v="Vitamins/Minerals"/>
    <n v="5"/>
    <s v="Mahaveer Medi Sales"/>
    <x v="21"/>
    <n v="23.5"/>
    <n v="25.85"/>
    <n v="135.71"/>
    <n v="2.3500000000000014"/>
  </r>
  <r>
    <s v="Enerzal Orange Sach 100GM"/>
    <s v="Vitamins/Minerals"/>
    <n v="10"/>
    <s v="Mahaveer Medi Sales"/>
    <x v="21"/>
    <n v="44.054545454545455"/>
    <n v="48.46"/>
    <n v="444.22"/>
    <n v="4.4054545454545462"/>
  </r>
  <r>
    <s v="Aerocort Rotacaps 60'S"/>
    <s v="Respiratory"/>
    <n v="1"/>
    <s v="Mahaveer Medi Sales"/>
    <x v="21"/>
    <n v="89.836363636363629"/>
    <n v="98.82"/>
    <n v="100.66"/>
    <n v="8.9836363636363643"/>
  </r>
  <r>
    <s v="Sitaxa M 50+500 Tab"/>
    <s v="Diabetes"/>
    <n v="2"/>
    <s v="Mahaveer Medi Sales"/>
    <x v="21"/>
    <n v="155.56363636363636"/>
    <n v="171.12"/>
    <n v="348.57"/>
    <n v="15.556363636363642"/>
  </r>
  <r>
    <s v="Calosoft AF Lotion"/>
    <s v="Skincare"/>
    <n v="5"/>
    <s v="Mahaveer Medi Sales"/>
    <x v="21"/>
    <n v="80.745454545454535"/>
    <n v="88.82"/>
    <n v="462.57"/>
    <n v="8.0745454545454578"/>
  </r>
  <r>
    <s v="Aldigesic MR Tab"/>
    <s v="Pain Relief"/>
    <n v="5"/>
    <s v="Mahaveer Medi Sales"/>
    <x v="21"/>
    <n v="25.636363636363633"/>
    <n v="28.2"/>
    <n v="148.06"/>
    <n v="2.5636363636363662"/>
  </r>
  <r>
    <s v="NMF E Lip Care"/>
    <s v="Skincare"/>
    <n v="2"/>
    <s v="Mahaveer Medi Sales"/>
    <x v="21"/>
    <n v="122.64545454545453"/>
    <n v="134.91"/>
    <n v="308.85000000000002"/>
    <n v="12.26454545454547"/>
  </r>
  <r>
    <s v="Udcament Susp "/>
    <s v="Gastro Tabs"/>
    <n v="1"/>
    <s v="Mahaveer Medi Sales"/>
    <x v="21"/>
    <n v="270.12727272727267"/>
    <n v="297.14"/>
    <n v="302.64999999999998"/>
    <n v="27.012727272727318"/>
  </r>
  <r>
    <s v="Udcament Susp "/>
    <s v="Gastro Tabs"/>
    <n v="1"/>
    <s v="Mahaveer Medi Sales"/>
    <x v="21"/>
    <n v="270.12727272727267"/>
    <n v="297.14"/>
    <n v="302.64999999999998"/>
    <n v="27.012727272727318"/>
  </r>
  <r>
    <s v="Pankajakasthuri B/E SYP"/>
    <s v="Cold/Cough"/>
    <n v="1"/>
    <s v="Mahaveer Medi Sales"/>
    <x v="21"/>
    <n v="148.48181818181817"/>
    <n v="163.33000000000001"/>
    <n v="171.49"/>
    <n v="14.848181818181843"/>
  </r>
  <r>
    <s v="Cetaphil Moisturising"/>
    <s v="Skincare"/>
    <n v="2"/>
    <s v="Ram Agencies"/>
    <x v="21"/>
    <n v="412.32727272727271"/>
    <n v="453.56"/>
    <n v="1038.29"/>
    <n v="41.232727272727288"/>
  </r>
  <r>
    <s v="Lulifin Lotion "/>
    <s v="Anti-microbial"/>
    <n v="1"/>
    <s v="Ram Agencies"/>
    <x v="21"/>
    <n v="161.69090909090909"/>
    <n v="177.86"/>
    <n v="181.12"/>
    <n v="16.169090909090926"/>
  </r>
  <r>
    <s v="Aquahance Advanced "/>
    <s v="Skincare"/>
    <n v="1"/>
    <s v="Ram Agencies"/>
    <x v="21"/>
    <n v="600.92727272727268"/>
    <n v="661.02"/>
    <n v="756.61"/>
    <n v="60.092727272727302"/>
  </r>
  <r>
    <s v="Acne UV Gel"/>
    <s v="Sunscreen"/>
    <n v="1"/>
    <s v="RSM Pharma"/>
    <x v="21"/>
    <n v="600.92727272727268"/>
    <n v="661.02"/>
    <n v="756.61"/>
    <n v="60.092727272727302"/>
  </r>
  <r>
    <s v="Fixon Cream"/>
    <s v="First Aid"/>
    <n v="1"/>
    <s v="Ram Agencies"/>
    <x v="21"/>
    <n v="105.97272727272725"/>
    <n v="116.57"/>
    <n v="118.73"/>
    <n v="10.597272727272738"/>
  </r>
  <r>
    <s v="Scar KT"/>
    <s v="Skincare"/>
    <n v="2"/>
    <s v="Ram Agencies"/>
    <x v="21"/>
    <n v="447.46363636363628"/>
    <n v="492.21"/>
    <n v="1126.77"/>
    <n v="44.746363636363697"/>
  </r>
  <r>
    <s v="Losakind 50 Tab"/>
    <s v="Cardiovascular"/>
    <n v="3"/>
    <s v="Ram Agencies"/>
    <x v="22"/>
    <n v="40.709090909090904"/>
    <n v="44.78"/>
    <n v="136.83000000000001"/>
    <n v="4.0709090909090975"/>
  </r>
  <r>
    <s v="Finax 1MG Tab"/>
    <s v="Body Care"/>
    <n v="1"/>
    <s v="Ram Agencies"/>
    <x v="22"/>
    <n v="246.42727272727271"/>
    <n v="271.07"/>
    <n v="276.08"/>
    <n v="24.642727272727285"/>
  </r>
  <r>
    <s v="Teczine 10MG Tab"/>
    <s v="Anti-microbial"/>
    <n v="5"/>
    <s v="Ram Agencies"/>
    <x v="22"/>
    <n v="156.49090909090907"/>
    <n v="172.14"/>
    <n v="876.62"/>
    <n v="15.649090909090916"/>
  </r>
  <r>
    <s v="Demelan Cream"/>
    <s v="Skincare"/>
    <n v="1"/>
    <s v="Ram Agencies"/>
    <x v="22"/>
    <n v="388.92727272727268"/>
    <n v="427.82"/>
    <n v="435.73"/>
    <n v="38.892727272727313"/>
  </r>
  <r>
    <s v="Vomikind MD 4"/>
    <s v="Gastro Tabs"/>
    <n v="10"/>
    <s v="Ram Agencies"/>
    <x v="22"/>
    <n v="33.327272727272721"/>
    <n v="36.659999999999997"/>
    <n v="373.38"/>
    <n v="3.3327272727272756"/>
  </r>
  <r>
    <s v="Olmecip H Tab"/>
    <s v="Cardiovascular"/>
    <n v="2"/>
    <s v="Ram Agencies"/>
    <x v="22"/>
    <n v="111.89090909090908"/>
    <n v="123.08"/>
    <n v="250.72"/>
    <n v="11.189090909090922"/>
  </r>
  <r>
    <s v="Stemetil MD Tab"/>
    <s v="Pain Relief"/>
    <n v="5"/>
    <s v="Ram Agencies"/>
    <x v="22"/>
    <n v="123.36363636363635"/>
    <n v="135.69999999999999"/>
    <n v="691.05"/>
    <n v="12.336363636363643"/>
  </r>
  <r>
    <s v="Clohex ADS M/Wash"/>
    <s v="Body Care"/>
    <n v="3"/>
    <s v="Ram Agencies"/>
    <x v="22"/>
    <n v="187.49999999999997"/>
    <n v="206.25"/>
    <n v="630.19000000000005"/>
    <n v="18.750000000000028"/>
  </r>
  <r>
    <s v="Fixon Powder"/>
    <s v="First Aid"/>
    <n v="2"/>
    <s v="Ram Agencies"/>
    <x v="22"/>
    <n v="36.709090909090911"/>
    <n v="40.380000000000003"/>
    <n v="82.26"/>
    <n v="3.6709090909090918"/>
  </r>
  <r>
    <s v="Orsl Apple"/>
    <s v="Vitamins/Minerals"/>
    <n v="25"/>
    <s v="Ram Agencies"/>
    <x v="22"/>
    <n v="27.218181818181819"/>
    <n v="29.94"/>
    <n v="785.92"/>
    <n v="2.7218181818181826"/>
  </r>
  <r>
    <s v="Eberfine XL Cream"/>
    <s v="Anti-microbial"/>
    <n v="3"/>
    <s v="Avenues Pharma "/>
    <x v="22"/>
    <n v="334.41818181818178"/>
    <n v="367.86"/>
    <n v="1123.99"/>
    <n v="33.441818181818235"/>
  </r>
  <r>
    <s v="Lomotil 20 Tab"/>
    <s v="Gastro Tabs"/>
    <n v="3"/>
    <s v="Avenues Pharma "/>
    <x v="22"/>
    <n v="19.963636363636361"/>
    <n v="21.96"/>
    <n v="67.099999999999994"/>
    <n v="1.9963636363636397"/>
  </r>
  <r>
    <s v="Elfri Lotion"/>
    <s v="Skincare"/>
    <n v="1"/>
    <s v="Avenues Pharma "/>
    <x v="22"/>
    <n v="575.65454545454543"/>
    <n v="633.22"/>
    <n v="724.78"/>
    <n v="57.5654545454546"/>
  </r>
  <r>
    <s v="Hhfexo 180 Tabs"/>
    <s v="Anti-microbial"/>
    <n v="6"/>
    <s v="Avenues Pharma "/>
    <x v="22"/>
    <n v="120.12727272727271"/>
    <n v="132.13999999999999"/>
    <n v="807.51"/>
    <n v="12.012727272727275"/>
  </r>
  <r>
    <s v="Benzonix -XL Gel Wash"/>
    <s v="Skincare"/>
    <n v="1"/>
    <s v="Avenues Pharma "/>
    <x v="22"/>
    <n v="198.09090909090909"/>
    <n v="217.9"/>
    <n v="221.92"/>
    <n v="19.809090909090912"/>
  </r>
  <r>
    <s v="Seb Baby Lotion With Pump"/>
    <s v="Baby Care"/>
    <n v="1"/>
    <s v="Avenues Pharma "/>
    <x v="22"/>
    <n v="1040.0636363636363"/>
    <n v="1144.07"/>
    <n v="1350.01"/>
    <n v="104.00636363636363"/>
  </r>
  <r>
    <s v="Inderal LA 40MG Tab"/>
    <s v="Cardiovascular"/>
    <n v="2"/>
    <s v="Tulsi Corporation"/>
    <x v="23"/>
    <n v="35.709090909090911"/>
    <n v="39.28"/>
    <n v="79.98"/>
    <n v="3.5709090909090904"/>
  </r>
  <r>
    <s v="Onabest SD 30ML Lotion"/>
    <s v="Anti-microbial"/>
    <n v="1"/>
    <s v="Tulsi Corporation"/>
    <x v="23"/>
    <n v="245.45454545454544"/>
    <n v="270"/>
    <n v="275"/>
    <n v="24.545454545454561"/>
  </r>
  <r>
    <s v="Nohives Tab"/>
    <s v="Anti-microbial"/>
    <n v="3"/>
    <s v="Tulsi Corporation"/>
    <x v="23"/>
    <n v="75.972727272727255"/>
    <n v="83.57"/>
    <n v="212.79"/>
    <n v="7.5972727272727383"/>
  </r>
  <r>
    <s v="Aquahance Mois Soap"/>
    <s v="Skincare"/>
    <n v="2"/>
    <s v="Tulsi Corporation"/>
    <x v="23"/>
    <n v="169.49090909090907"/>
    <n v="186.44"/>
    <n v="379.76"/>
    <n v="16.949090909090927"/>
  </r>
  <r>
    <s v="Atogla Skin Lotion"/>
    <s v="Skincare"/>
    <n v="1"/>
    <s v="Tulsi Corporation"/>
    <x v="23"/>
    <n v="391.37272727272722"/>
    <n v="430.51"/>
    <n v="492.79"/>
    <n v="39.137272727272773"/>
  </r>
  <r>
    <s v="Ultitar CS Lotion "/>
    <s v="Skincare"/>
    <n v="3"/>
    <s v="Tulsi Corporation"/>
    <x v="23"/>
    <n v="388.96363636363634"/>
    <n v="427.86"/>
    <n v="871.52"/>
    <n v="38.896363636363674"/>
  </r>
  <r>
    <s v="Nicotex 2 Mint S/F"/>
    <s v="First Aid"/>
    <n v="1"/>
    <s v="Tulsi Corporation"/>
    <x v="23"/>
    <n v="75.86363636363636"/>
    <n v="83.45"/>
    <n v="95.54"/>
    <n v="7.5863636363636431"/>
  </r>
  <r>
    <s v="Nicotex 2 Mint S/F"/>
    <s v="First Aid"/>
    <n v="1"/>
    <s v="Tulsi Corporation"/>
    <x v="23"/>
    <n v="75.86363636363636"/>
    <n v="83.45"/>
    <n v="95.54"/>
    <n v="7.5863636363636431"/>
  </r>
  <r>
    <s v="Lopamide 10 Tabs"/>
    <s v="Gastro Tabs"/>
    <n v="2"/>
    <s v="Tulsi Corporation"/>
    <x v="23"/>
    <n v="16.827272727272728"/>
    <n v="18.510000000000002"/>
    <n v="37.72"/>
    <n v="1.6827272727272735"/>
  </r>
  <r>
    <s v="Glowzex Foaming Facewash"/>
    <s v="Skincare"/>
    <n v="12"/>
    <s v="Santhosh Enterprises"/>
    <x v="23"/>
    <n v="319.91818181818184"/>
    <n v="351.91"/>
    <n v="3519.1"/>
    <n v="31.991818181818189"/>
  </r>
  <r>
    <s v="Lulizex Spray "/>
    <s v="Anti-microbial"/>
    <n v="12"/>
    <s v="Santhosh Enterprises"/>
    <x v="23"/>
    <n v="279.21818181818179"/>
    <n v="307.14"/>
    <n v="3071.4"/>
    <n v="27.921818181818196"/>
  </r>
  <r>
    <s v="Ketozex Cream"/>
    <s v="Anti-microbial"/>
    <n v="24"/>
    <s v="Santhosh Enterprises"/>
    <x v="23"/>
    <n v="100.64545454545453"/>
    <n v="110.71"/>
    <n v="2214.1999999999998"/>
    <n v="10.064545454545467"/>
  </r>
  <r>
    <s v="Eberzex Cream"/>
    <s v="Anti-microbial"/>
    <n v="12"/>
    <s v="Santhosh Enterprises"/>
    <x v="23"/>
    <n v="126.62727272727271"/>
    <n v="139.29"/>
    <n v="1392.9"/>
    <n v="12.662727272727281"/>
  </r>
  <r>
    <s v="Gentle Baby Soap "/>
    <s v="Baby Care"/>
    <n v="5"/>
    <s v="Ram Agencies"/>
    <x v="24"/>
    <n v="43.645454545454541"/>
    <n v="48.01"/>
    <n v="247.01"/>
    <n v="4.3645454545454569"/>
  </r>
  <r>
    <s v="Warren Orthodontic"/>
    <s v="Body Care"/>
    <n v="8"/>
    <s v="Ram Agencies"/>
    <x v="24"/>
    <n v="107.36363636363635"/>
    <n v="118.1"/>
    <n v="962.28"/>
    <n v="10.736363636363649"/>
  </r>
  <r>
    <s v="Becadexamin Caps"/>
    <s v="Vitamins/Minerals"/>
    <n v="1"/>
    <s v="Ram Agencies"/>
    <x v="24"/>
    <n v="84"/>
    <n v="92.4"/>
    <n v="94.11"/>
    <n v="8.4000000000000057"/>
  </r>
  <r>
    <s v="Mederma Advanced Plus"/>
    <s v="Skincare"/>
    <n v="2"/>
    <s v="Ram Agencies"/>
    <x v="24"/>
    <n v="212.19090909090906"/>
    <n v="233.41"/>
    <n v="550.84"/>
    <n v="21.219090909090937"/>
  </r>
  <r>
    <s v="Medomol SP Tabs"/>
    <s v="Pain Relief"/>
    <n v="10"/>
    <s v="Ram Agencies"/>
    <x v="24"/>
    <n v="81.818181818181813"/>
    <n v="90"/>
    <n v="916.66"/>
    <n v="8.181818181818187"/>
  </r>
  <r>
    <s v="BX Shampoo"/>
    <s v="Body Care"/>
    <n v="1"/>
    <s v="Ram Agencies"/>
    <x v="24"/>
    <n v="350.36363636363632"/>
    <n v="385.4"/>
    <n v="392.54"/>
    <n v="35.03636363636366"/>
  </r>
  <r>
    <s v="Ziglim MV 2 Tabs"/>
    <s v="Diabetes"/>
    <n v="4"/>
    <s v="Ram Agencies"/>
    <x v="24"/>
    <n v="91.881818181818161"/>
    <n v="101.07"/>
    <n v="411.75"/>
    <n v="9.1881818181818318"/>
  </r>
  <r>
    <s v="Neptaz 50MG Tab"/>
    <s v="Pain Relief"/>
    <n v="2"/>
    <s v="Ram Agencies"/>
    <x v="24"/>
    <n v="228.99090909090907"/>
    <n v="251.89"/>
    <n v="513.11"/>
    <n v="22.899090909090916"/>
  </r>
  <r>
    <s v="Lubrex Eye Drops"/>
    <s v="Body Care"/>
    <n v="2"/>
    <s v="Ram Agencies"/>
    <x v="24"/>
    <n v="90.945454545454538"/>
    <n v="100.04"/>
    <n v="203.78"/>
    <n v="9.094545454545468"/>
  </r>
  <r>
    <s v="Trfy Cream"/>
    <s v="Anti-microbial"/>
    <n v="1"/>
    <s v="Ram Agencies"/>
    <x v="24"/>
    <n v="58.263636363636365"/>
    <n v="64.09"/>
    <n v="65.27"/>
    <n v="5.826363636363638"/>
  </r>
  <r>
    <s v="Tribet 2 Tabs"/>
    <s v="Diabetes"/>
    <n v="4"/>
    <s v="Ram Agencies"/>
    <x v="24"/>
    <n v="260.42727272727274"/>
    <n v="286.47000000000003"/>
    <n v="1167.08"/>
    <n v="26.042727272727291"/>
  </r>
  <r>
    <s v="Xerina Cream"/>
    <s v="Skincare"/>
    <n v="1"/>
    <s v="Ram Agencies"/>
    <x v="24"/>
    <n v="300.15454545454543"/>
    <n v="330.17"/>
    <n v="377.9"/>
    <n v="30.015454545454588"/>
  </r>
  <r>
    <s v="Zole Skin Oint"/>
    <s v="Anti-microbial"/>
    <n v="1"/>
    <s v="Ram Agencies"/>
    <x v="24"/>
    <n v="48.699999999999996"/>
    <n v="53.57"/>
    <n v="54.56"/>
    <n v="4.8700000000000045"/>
  </r>
  <r>
    <s v="Stamlo T Tabs"/>
    <s v="Cardiovascular"/>
    <n v="3"/>
    <s v="Ram Agencies"/>
    <x v="24"/>
    <n v="148.20909090909089"/>
    <n v="163.03"/>
    <n v="498.14"/>
    <n v="14.820909090909112"/>
  </r>
  <r>
    <s v="Mahacef 200"/>
    <s v="Anti-microbial"/>
    <n v="1"/>
    <s v="Ram Agencies"/>
    <x v="24"/>
    <n v="68.654545454545442"/>
    <n v="75.52"/>
    <n v="76.91"/>
    <n v="6.8654545454545541"/>
  </r>
  <r>
    <s v="Aten 50MG Tab"/>
    <s v="Cardiovascular"/>
    <n v="6"/>
    <s v="Ram Agencies"/>
    <x v="24"/>
    <n v="24.381818181818179"/>
    <n v="26.82"/>
    <n v="163.89"/>
    <n v="2.4381818181818211"/>
  </r>
  <r>
    <s v="Duphalac Syrup"/>
    <s v="Gastro Tabs"/>
    <n v="1"/>
    <s v="Ram Agencies"/>
    <x v="24"/>
    <n v="227.27272727272725"/>
    <n v="250"/>
    <n v="254.62"/>
    <n v="22.727272727272748"/>
  </r>
  <r>
    <s v="Kofarest SYP"/>
    <s v="Cold/Cough"/>
    <n v="1"/>
    <s v="Ram Agencies"/>
    <x v="24"/>
    <n v="107.07272727272726"/>
    <n v="117.78"/>
    <n v="119.97"/>
    <n v="10.707272727272738"/>
  </r>
  <r>
    <s v="Thyronorm 100"/>
    <s v="Vitamins/Minerals"/>
    <n v="2"/>
    <s v="Ram Agencies"/>
    <x v="24"/>
    <n v="116.92727272727272"/>
    <n v="128.62"/>
    <n v="262"/>
    <n v="11.692727272727282"/>
  </r>
  <r>
    <s v="P-250 Suspension"/>
    <s v="Pain Relief"/>
    <n v="5"/>
    <s v="Ram Agencies"/>
    <x v="24"/>
    <n v="29.672727272727272"/>
    <n v="32.64"/>
    <n v="166.22"/>
    <n v="2.9672727272727286"/>
  </r>
  <r>
    <s v="Telmikind AM Tab"/>
    <s v="Cardiovascular"/>
    <n v="12"/>
    <s v="Ram Agencies"/>
    <x v="24"/>
    <n v="54.209090909090904"/>
    <n v="59.63"/>
    <n v="728.79"/>
    <n v="5.4209090909090989"/>
  </r>
  <r>
    <s v="Propysalic NF6 Ointment"/>
    <s v="Anti-microbial"/>
    <n v="6"/>
    <s v="Ram Agencies"/>
    <x v="24"/>
    <n v="135.71818181818179"/>
    <n v="149.29"/>
    <n v="912.31"/>
    <n v="13.571818181818202"/>
  </r>
  <r>
    <s v="Candiforce 200 Caps"/>
    <s v="Anti-microbial"/>
    <n v="4"/>
    <s v="Ram Agencies"/>
    <x v="24"/>
    <n v="163.63636363636363"/>
    <n v="180"/>
    <n v="733.32"/>
    <n v="16.363636363636374"/>
  </r>
  <r>
    <s v="Huminsulin 30/70"/>
    <s v="Diabetes"/>
    <n v="2"/>
    <s v="Ram Agencies"/>
    <x v="24"/>
    <n v="128.72727272727272"/>
    <n v="141.6"/>
    <n v="291.42"/>
    <n v="12.872727272727275"/>
  </r>
  <r>
    <s v="Anaboom Pro Serum"/>
    <s v="Body Care"/>
    <n v="1"/>
    <s v="RSM Pharma"/>
    <x v="25"/>
    <n v="856.70909090909083"/>
    <n v="942.38"/>
    <n v="1078.6500000000001"/>
    <n v="85.670909090909163"/>
  </r>
  <r>
    <s v="Cuticlair Anti Acne Soap"/>
    <s v="Skincare"/>
    <n v="1"/>
    <s v="RSM Pharma"/>
    <x v="25"/>
    <n v="186.91818181818181"/>
    <n v="205.61"/>
    <n v="209.42"/>
    <n v="18.691818181818206"/>
  </r>
  <r>
    <s v="Practin 4MG Tab"/>
    <s v="Anti-microbial"/>
    <n v="10"/>
    <s v="RSM Pharma"/>
    <x v="25"/>
    <n v="30.518181818181816"/>
    <n v="33.57"/>
    <n v="341.91"/>
    <n v="3.0518181818181844"/>
  </r>
  <r>
    <s v="Cosglo New Cream"/>
    <s v="Skincare"/>
    <n v="1"/>
    <s v="RSM Pharma"/>
    <x v="25"/>
    <n v="426.49999999999994"/>
    <n v="469.15"/>
    <n v="537"/>
    <n v="42.650000000000034"/>
  </r>
  <r>
    <s v="AB Next Gel"/>
    <s v="Pain Relief"/>
    <n v="1"/>
    <s v="RSM Pharma"/>
    <x v="25"/>
    <n v="332.22727272727269"/>
    <n v="365.45"/>
    <n v="372.21"/>
    <n v="33.222727272727298"/>
  </r>
  <r>
    <s v="Glyciphage G1"/>
    <s v="Diabetes"/>
    <n v="3"/>
    <s v="RSM Pharma"/>
    <x v="25"/>
    <n v="60.645454545454534"/>
    <n v="66.709999999999994"/>
    <n v="203.83"/>
    <n v="6.0645454545454598"/>
  </r>
  <r>
    <s v="Zincovit Syrup"/>
    <s v="Vitamins/Minerals"/>
    <n v="1"/>
    <s v="RSM Pharma"/>
    <x v="25"/>
    <n v="110.93636363636362"/>
    <n v="122.03"/>
    <n v="124.29"/>
    <n v="11.093636363636378"/>
  </r>
  <r>
    <s v="Alerid Syrup"/>
    <s v="Anti-microbial"/>
    <n v="11"/>
    <s v="RSM Pharma"/>
    <x v="25"/>
    <n v="29.227272727272723"/>
    <n v="32.15"/>
    <n v="360.2"/>
    <n v="2.9227272727272755"/>
  </r>
  <r>
    <s v="Tarich Lotion"/>
    <s v="Skincare"/>
    <n v="3"/>
    <s v="RSM Pharma"/>
    <x v="25"/>
    <n v="418.83636363636361"/>
    <n v="460.72"/>
    <n v="1407.74"/>
    <n v="41.883636363636413"/>
  </r>
  <r>
    <s v="KLM D3 Nano Shots"/>
    <s v="Vitamins/Minerals"/>
    <n v="4"/>
    <s v="RSM Pharma"/>
    <x v="25"/>
    <n v="53.25454545454545"/>
    <n v="58.58"/>
    <n v="238.65"/>
    <n v="5.3254545454545479"/>
  </r>
  <r>
    <s v="Tressgain Serum"/>
    <s v="Body Care"/>
    <n v="3"/>
    <s v="Sri Vignesh Pharma"/>
    <x v="25"/>
    <n v="923.92727272727268"/>
    <n v="1016.32"/>
    <n v="3048.96"/>
    <n v="92.39272727272737"/>
  </r>
  <r>
    <s v="Tressgain Serum"/>
    <s v="Body Care"/>
    <n v="2"/>
    <s v="Sri Vignesh Pharma"/>
    <x v="25"/>
    <n v="923.92727272727268"/>
    <n v="1016.32"/>
    <n v="2032.64"/>
    <n v="92.39272727272737"/>
  </r>
  <r>
    <s v="Sporamiz SB 130 Caos"/>
    <s v="Anti-microbial"/>
    <n v="50"/>
    <s v="Medline Distributors"/>
    <x v="26"/>
    <n v="188.30909090909088"/>
    <n v="207.14"/>
    <n v="10548.61"/>
    <n v="18.830909090909103"/>
  </r>
  <r>
    <s v="Minfin NX 5% "/>
    <s v="Body Care"/>
    <n v="5"/>
    <s v="Medline Distributors"/>
    <x v="26"/>
    <n v="616.88181818181818"/>
    <n v="678.57"/>
    <n v="3455.62"/>
    <n v="61.688181818181874"/>
  </r>
  <r>
    <s v="Flomist Nasal Spray"/>
    <s v="Cold/Cough"/>
    <n v="1"/>
    <s v="RSM Pharma"/>
    <x v="26"/>
    <n v="334.0454545454545"/>
    <n v="367.45"/>
    <n v="374.25"/>
    <n v="33.404545454545485"/>
  </r>
  <r>
    <s v="MX S Topical Solution"/>
    <s v="Body Care"/>
    <n v="2"/>
    <s v="RSM Pharma"/>
    <x v="26"/>
    <n v="646.1"/>
    <n v="710.71"/>
    <n v="1447.72"/>
    <n v="64.610000000000014"/>
  </r>
  <r>
    <s v="Dermadew Aloe Plus"/>
    <s v="Skincare"/>
    <n v="1"/>
    <s v="RSM Pharma"/>
    <x v="26"/>
    <n v="155.31818181818181"/>
    <n v="170.85"/>
    <n v="195.54"/>
    <n v="15.531818181818181"/>
  </r>
  <r>
    <s v="Propysalic NF Ointment"/>
    <s v="Anti-microbial"/>
    <n v="1"/>
    <s v="RSM Pharma"/>
    <x v="26"/>
    <n v="181.17272727272726"/>
    <n v="199.29"/>
    <n v="202.97"/>
    <n v="18.117272727272734"/>
  </r>
  <r>
    <s v="GP 3MG Tab"/>
    <s v="Diabetes"/>
    <n v="2"/>
    <s v="RSM Pharma"/>
    <x v="26"/>
    <n v="98.381818181818176"/>
    <n v="108.22"/>
    <n v="220.45"/>
    <n v="9.8381818181818232"/>
  </r>
  <r>
    <s v="Glucoryl MV2 Tab 15'S"/>
    <s v="Diabetes"/>
    <n v="4"/>
    <s v="RSM Pharma"/>
    <x v="26"/>
    <n v="240.24545454545452"/>
    <n v="264.27"/>
    <n v="1076.6300000000001"/>
    <n v="24.024545454545461"/>
  </r>
  <r>
    <s v="Tazloc Beta 50MG Tab"/>
    <s v="Cardiovascular"/>
    <n v="1"/>
    <s v="RSM Pharma"/>
    <x v="26"/>
    <n v="143.11818181818182"/>
    <n v="157.43"/>
    <n v="160.35"/>
    <n v="14.311818181818182"/>
  </r>
  <r>
    <s v="T Bact Oint 15GM"/>
    <s v="Anti-microbial"/>
    <n v="2"/>
    <s v="RSM Pharma"/>
    <x v="26"/>
    <n v="225.16363636363636"/>
    <n v="247.68"/>
    <n v="504.52"/>
    <n v="22.51636363636365"/>
  </r>
  <r>
    <s v="Cobadex CZS Tab"/>
    <s v="Vitamins/Minerals"/>
    <n v="7"/>
    <s v="RSM Pharma"/>
    <x v="26"/>
    <n v="80.645454545454527"/>
    <n v="88.71"/>
    <n v="591.79999999999995"/>
    <n v="8.0645454545454669"/>
  </r>
  <r>
    <s v="Rantac 300MG Tab"/>
    <s v="Gastro Tabs"/>
    <n v="5"/>
    <s v="RSM Pharma"/>
    <x v="26"/>
    <n v="67.718181818181804"/>
    <n v="74.489999999999995"/>
    <n v="341.4"/>
    <n v="6.7718181818181904"/>
  </r>
  <r>
    <s v="Regabipo Spray "/>
    <s v="Body Care"/>
    <n v="1"/>
    <s v="RSM Pharma"/>
    <x v="26"/>
    <n v="307.5545454545454"/>
    <n v="338.31"/>
    <n v="387.22"/>
    <n v="30.755454545454597"/>
  </r>
  <r>
    <s v="Ifin 250MG Tab"/>
    <s v="Anti-microbial"/>
    <n v="1"/>
    <s v="RSM Pharma"/>
    <x v="26"/>
    <n v="91.236363636363635"/>
    <n v="100.36"/>
    <n v="102.21"/>
    <n v="9.1236363636363649"/>
  </r>
  <r>
    <s v="Cuticlair ADV Foam Face Wash"/>
    <s v="Skincare"/>
    <n v="5"/>
    <s v="RSM Pharma"/>
    <x v="26"/>
    <n v="411.86363636363632"/>
    <n v="453.05"/>
    <n v="2592.81"/>
    <n v="41.186363636363694"/>
  </r>
  <r>
    <s v="Cardace 2.5MG Tab"/>
    <s v="Cardiovascular"/>
    <n v="2"/>
    <s v="RSM Pharma"/>
    <x v="26"/>
    <n v="56.836363636363636"/>
    <n v="62.52"/>
    <n v="127.36"/>
    <n v="5.6836363636363672"/>
  </r>
  <r>
    <s v="Daparyl V 10/100 Tab"/>
    <s v="Diabetes"/>
    <n v="1"/>
    <s v="RSM Pharma"/>
    <x v="26"/>
    <n v="133.44545454545454"/>
    <n v="146.79"/>
    <n v="149.51"/>
    <n v="13.344545454545454"/>
  </r>
  <r>
    <s v="Eberfine XL Cream"/>
    <s v="Anti-microbial"/>
    <n v="3"/>
    <s v="RSM Pharma"/>
    <x v="27"/>
    <n v="334.41818181818178"/>
    <n v="367.86"/>
    <n v="1123.99"/>
    <n v="33.441818181818235"/>
  </r>
  <r>
    <s v="Gabapin ME 100MG Tab"/>
    <s v="Pain Relief"/>
    <n v="2"/>
    <s v="RSM Pharma"/>
    <x v="27"/>
    <n v="139.6090909090909"/>
    <n v="153.57"/>
    <n v="312.83"/>
    <n v="13.960909090909098"/>
  </r>
  <r>
    <s v="Hhomega + Cap"/>
    <s v="Vitamins/Minerals"/>
    <n v="6"/>
    <s v="RSM Pharma"/>
    <x v="27"/>
    <n v="141.76363636363635"/>
    <n v="155.94"/>
    <n v="952.95"/>
    <n v="14.176363636363646"/>
  </r>
  <r>
    <s v="Hhsalic 6 Oint"/>
    <s v="Anti-microbial"/>
    <n v="2"/>
    <s v="RSM Pharma"/>
    <x v="27"/>
    <n v="159.09090909090907"/>
    <n v="175"/>
    <n v="356.48"/>
    <n v="15.909090909090935"/>
  </r>
  <r>
    <s v="Hhlevo 5MG Tab"/>
    <s v="Anti-microbial"/>
    <n v="2"/>
    <s v="RSM Pharma"/>
    <x v="27"/>
    <n v="59.736363636363627"/>
    <n v="65.709999999999994"/>
    <n v="133.86000000000001"/>
    <n v="5.9736363636363663"/>
  </r>
  <r>
    <s v="LZHH Cream"/>
    <s v="Anti-microbial"/>
    <n v="1"/>
    <s v="RSM Pharma"/>
    <x v="27"/>
    <n v="165.58181818181816"/>
    <n v="182.14"/>
    <n v="185.52"/>
    <n v="16.558181818181822"/>
  </r>
  <r>
    <s v="Mintop Eva Solution"/>
    <s v="Body Care"/>
    <n v="1"/>
    <s v="RSM Pharma"/>
    <x v="27"/>
    <n v="850.80909090909086"/>
    <n v="935.89"/>
    <n v="953.21"/>
    <n v="85.080909090909131"/>
  </r>
  <r>
    <s v="VildaPride DM 1000MG Tab"/>
    <s v="Diabetes"/>
    <n v="3"/>
    <s v="RSM Pharma"/>
    <x v="27"/>
    <n v="118.71818181818182"/>
    <n v="130.59"/>
    <n v="399.02"/>
    <n v="11.871818181818185"/>
  </r>
  <r>
    <s v="KZ Plus Medicated Soap"/>
    <s v="Anti-microbial"/>
    <n v="3"/>
    <s v="RSM Pharma"/>
    <x v="27"/>
    <n v="122.03636363636363"/>
    <n v="134.24"/>
    <n v="410.18"/>
    <n v="12.203636363636377"/>
  </r>
  <r>
    <s v="Cutihance Women Tab"/>
    <s v="Vitamins/Minerals"/>
    <n v="1"/>
    <s v="RSM Pharma"/>
    <x v="27"/>
    <n v="416.0272727272727"/>
    <n v="457.63"/>
    <n v="466.1"/>
    <n v="41.602727272727293"/>
  </r>
  <r>
    <s v="Lecmon-AX Tab"/>
    <s v="Anti-microbial"/>
    <n v="5"/>
    <s v="RSM Pharma"/>
    <x v="27"/>
    <n v="72.545454545454533"/>
    <n v="79.8"/>
    <n v="406.39"/>
    <n v="7.2545454545454646"/>
  </r>
  <r>
    <s v="Brufen 600 Tab"/>
    <s v="Pain Relief"/>
    <n v="5"/>
    <s v="RSM Pharma"/>
    <x v="27"/>
    <n v="27.518181818181816"/>
    <n v="30.27"/>
    <n v="154.15"/>
    <n v="2.7518181818181837"/>
  </r>
  <r>
    <s v="Ezhh Cream"/>
    <s v="Anti-microbial"/>
    <n v="1"/>
    <s v="RSM Pharma"/>
    <x v="27"/>
    <n v="224.0272727272727"/>
    <n v="246.43"/>
    <n v="251"/>
    <n v="22.402727272727304"/>
  </r>
  <r>
    <s v="Tarich Lotion"/>
    <s v="Skincare"/>
    <n v="2"/>
    <s v="RSM Pharma"/>
    <x v="27"/>
    <n v="418.83636363636361"/>
    <n v="460.72"/>
    <n v="938.5"/>
    <n v="41.883636363636413"/>
  </r>
  <r>
    <s v="Tressgain Serum 50GM"/>
    <s v="Body Care"/>
    <n v="3"/>
    <s v="Sri Vignesh Pharma"/>
    <x v="27"/>
    <n v="923.92727272727268"/>
    <n v="1016.32"/>
    <n v="3048.96"/>
    <n v="92.39272727272737"/>
  </r>
  <r>
    <s v="Tressgain Serum 50GM"/>
    <s v="Body Care"/>
    <n v="7"/>
    <s v="Sri Vignesh Pharma"/>
    <x v="27"/>
    <n v="923.92727272727268"/>
    <n v="1016.32"/>
    <n v="7114.24"/>
    <n v="92.39272727272737"/>
  </r>
  <r>
    <s v="Trichogrow Shampoo 150ML"/>
    <s v="Body Care"/>
    <n v="4"/>
    <s v="Sri Vignesh Pharma"/>
    <x v="27"/>
    <n v="424.67272727272723"/>
    <n v="467.14"/>
    <n v="1868.56"/>
    <n v="42.467272727272757"/>
  </r>
  <r>
    <s v="Trichogrow Shampoo 150ML"/>
    <s v="Body Care"/>
    <n v="6"/>
    <s v="Sri Vignesh Pharma"/>
    <x v="27"/>
    <n v="424.67272727272723"/>
    <n v="467.14"/>
    <n v="2802.84"/>
    <n v="42.467272727272757"/>
  </r>
  <r>
    <s v="Gentle Baby Wipes "/>
    <s v="Baby Care"/>
    <n v="1"/>
    <s v="RSM Pharma"/>
    <x v="27"/>
    <n v="134.81818181818181"/>
    <n v="148.30000000000001"/>
    <n v="175"/>
    <n v="13.481818181818198"/>
  </r>
  <r>
    <s v="Seb Anti Dandruff Shampoo"/>
    <s v="Body Care"/>
    <n v="2"/>
    <s v="RSM Pharma"/>
    <x v="27"/>
    <n v="436.5090909090909"/>
    <n v="480.16"/>
    <n v="1008.34"/>
    <n v="43.650909090909124"/>
  </r>
  <r>
    <s v="Candid Gold Powder 100GM"/>
    <s v="Anti-microbial"/>
    <n v="2"/>
    <s v="RSM Pharma"/>
    <x v="27"/>
    <n v="154.21818181818179"/>
    <n v="169.64"/>
    <n v="345.56"/>
    <n v="15.421818181818196"/>
  </r>
  <r>
    <s v="Turby D SYP"/>
    <s v="Cold/Cough"/>
    <n v="1"/>
    <s v="RSM Pharma"/>
    <x v="27"/>
    <n v="83.763636363636351"/>
    <n v="92.14"/>
    <n v="93.84"/>
    <n v="8.3763636363636493"/>
  </r>
  <r>
    <s v="Sporamiz 200MG Caps"/>
    <s v="Anti-microbial"/>
    <n v="1"/>
    <s v="RSM Pharma"/>
    <x v="27"/>
    <n v="160.87272727272727"/>
    <n v="176.96"/>
    <n v="180.23"/>
    <n v="16.087272727272733"/>
  </r>
  <r>
    <s v="LA Shield IR Gel "/>
    <s v="Sunscreen"/>
    <n v="1"/>
    <s v="RSM Pharma"/>
    <x v="27"/>
    <n v="604.62727272727273"/>
    <n v="665.09"/>
    <n v="761.26"/>
    <n v="60.462727272727307"/>
  </r>
  <r>
    <s v="Melgain 2ML"/>
    <s v="Skincare"/>
    <n v="1"/>
    <s v="RSM Pharma"/>
    <x v="27"/>
    <n v="385.71818181818179"/>
    <n v="424.29"/>
    <n v="432.14"/>
    <n v="38.57181818181823"/>
  </r>
  <r>
    <s v="Sitaday DM Tab"/>
    <s v="Diabetes"/>
    <n v="1"/>
    <s v="RSM Pharma"/>
    <x v="27"/>
    <n v="213.30909090909088"/>
    <n v="234.64"/>
    <n v="238.98"/>
    <n v="21.330909090909103"/>
  </r>
  <r>
    <s v="Foracort 200 R/C 60'S"/>
    <s v="Respiratory"/>
    <n v="5"/>
    <s v="RSM Pharma"/>
    <x v="27"/>
    <n v="249.6"/>
    <n v="274.56"/>
    <n v="1258.3699999999999"/>
    <n v="24.960000000000008"/>
  </r>
  <r>
    <s v="Oaknets Photo First Cream"/>
    <s v="Sunscreen"/>
    <n v="1"/>
    <s v="RSM Pharma"/>
    <x v="27"/>
    <n v="1118.6454545454544"/>
    <n v="1230.51"/>
    <n v="1408.43"/>
    <n v="111.86454545454558"/>
  </r>
  <r>
    <s v="Clohex ADS Liquid "/>
    <s v="Body Care"/>
    <n v="3"/>
    <s v="RSM Pharma"/>
    <x v="27"/>
    <n v="187.49999999999997"/>
    <n v="206.25"/>
    <n v="630.19000000000005"/>
    <n v="18.750000000000028"/>
  </r>
  <r>
    <s v="Myoril 4MG Caps"/>
    <s v="Pain Relief"/>
    <n v="2"/>
    <s v="RSM Pharma"/>
    <x v="27"/>
    <n v="207.30909090909088"/>
    <n v="228.04"/>
    <n v="464.52"/>
    <n v="20.730909090909108"/>
  </r>
  <r>
    <s v="Ivrea Shampoo "/>
    <s v="Body Care"/>
    <n v="1"/>
    <s v="RSM Pharma"/>
    <x v="27"/>
    <n v="84.418181818181807"/>
    <n v="92.86"/>
    <n v="94.57"/>
    <n v="8.4418181818181921"/>
  </r>
  <r>
    <s v="Nervijen Plus Injection"/>
    <s v="Vitamins/Minerals"/>
    <n v="5"/>
    <s v="RSM Pharma"/>
    <x v="27"/>
    <n v="73.699999999999989"/>
    <n v="81.069999999999993"/>
    <n v="371.57"/>
    <n v="7.3700000000000045"/>
  </r>
  <r>
    <s v="Tiger Balm Red "/>
    <s v="Pain Relief"/>
    <n v="1"/>
    <s v="RSM Pharma"/>
    <x v="27"/>
    <n v="69.236363636363635"/>
    <n v="76.16"/>
    <n v="79.959999999999994"/>
    <n v="6.923636363636362"/>
  </r>
  <r>
    <s v="Seb Anti Hairloss Shampoo"/>
    <s v="Body Care"/>
    <n v="1"/>
    <s v="RSM Pharma"/>
    <x v="28"/>
    <n v="474.75454545454545"/>
    <n v="522.23"/>
    <n v="548.35"/>
    <n v="47.475454545454568"/>
  </r>
  <r>
    <s v="Erytop Gel"/>
    <s v="Skincare"/>
    <n v="1"/>
    <s v="RSM Pharma"/>
    <x v="28"/>
    <n v="148.22727272727272"/>
    <n v="163.05000000000001"/>
    <n v="166.06"/>
    <n v="14.822727272727292"/>
  </r>
  <r>
    <s v="Sinarest New Tab"/>
    <s v="Cold/Cough"/>
    <n v="10"/>
    <s v="RSM Pharma"/>
    <x v="28"/>
    <n v="85.636363636363626"/>
    <n v="94.2"/>
    <n v="959.42"/>
    <n v="8.5636363636363768"/>
  </r>
  <r>
    <s v="Clindac A Gel"/>
    <s v="Skincare"/>
    <n v="1"/>
    <s v="RSM Pharma"/>
    <x v="28"/>
    <n v="174.54545454545453"/>
    <n v="192"/>
    <n v="195.56"/>
    <n v="17.454545454545467"/>
  </r>
  <r>
    <s v="Renerve Plus Caps"/>
    <s v="Pain Relief"/>
    <n v="1"/>
    <s v="RSM Pharma"/>
    <x v="28"/>
    <n v="207.55454545454543"/>
    <n v="228.31"/>
    <n v="232.54"/>
    <n v="20.755454545454569"/>
  </r>
  <r>
    <s v="Tedibar 75GM 2'S"/>
    <s v="Skincare"/>
    <n v="5"/>
    <s v="RSM Pharma"/>
    <x v="28"/>
    <n v="241.59999999999997"/>
    <n v="265.76"/>
    <n v="1520.94"/>
    <n v="24.160000000000025"/>
  </r>
  <r>
    <s v="D Veniz 50MG Tab"/>
    <s v="Pain Relief"/>
    <n v="4"/>
    <s v="RSM Pharma"/>
    <x v="28"/>
    <n v="140.90909090909091"/>
    <n v="155"/>
    <n v="631.48"/>
    <n v="14.090909090909093"/>
  </r>
  <r>
    <s v="Senquel AD M/Wash "/>
    <s v="Body Care"/>
    <n v="3"/>
    <s v="RSM Pharma"/>
    <x v="28"/>
    <n v="115.41818181818181"/>
    <n v="126.96"/>
    <n v="387.93"/>
    <n v="11.541818181818186"/>
  </r>
  <r>
    <s v="Macbery Susp"/>
    <s v="Cold/Cough"/>
    <n v="1"/>
    <s v="RSM Pharma"/>
    <x v="28"/>
    <n v="85.509090909090901"/>
    <n v="94.06"/>
    <n v="95.8"/>
    <n v="8.5509090909091015"/>
  </r>
  <r>
    <s v="Propysalic Plus 3% Lotion"/>
    <s v="Anti-microbial"/>
    <n v="2"/>
    <s v="Ram Agencies"/>
    <x v="28"/>
    <n v="71.427272727272722"/>
    <n v="78.569999999999993"/>
    <n v="160.05000000000001"/>
    <n v="7.1427272727272708"/>
  </r>
  <r>
    <s v="Clop S 3.5 Lotion"/>
    <s v="Anti-microbial"/>
    <n v="5"/>
    <s v="Ram Agencies"/>
    <x v="28"/>
    <n v="136.36363636363635"/>
    <n v="150"/>
    <n v="763.88"/>
    <n v="13.636363636363654"/>
  </r>
  <r>
    <s v="Propysalic Plus 6% Lotion"/>
    <s v="Anti-microbial"/>
    <n v="2"/>
    <s v="Ram Agencies"/>
    <x v="28"/>
    <n v="77.918181818181807"/>
    <n v="85.71"/>
    <n v="174.6"/>
    <n v="7.7918181818181864"/>
  </r>
  <r>
    <s v="Tenovate M Cream"/>
    <s v="Anti-microbial"/>
    <n v="1"/>
    <s v="Ram Agencies"/>
    <x v="28"/>
    <n v="94.872727272727261"/>
    <n v="104.36"/>
    <n v="106.29"/>
    <n v="9.4872727272727388"/>
  </r>
  <r>
    <s v="Sinarest AF Drops"/>
    <s v="Cold/Cough"/>
    <n v="1"/>
    <s v="Ram Agencies"/>
    <x v="28"/>
    <n v="60.18181818181818"/>
    <n v="66.2"/>
    <n v="67.430000000000007"/>
    <n v="6.018181818181823"/>
  </r>
  <r>
    <s v="Zedex Cough Syrup"/>
    <s v="Cold/Cough"/>
    <n v="1"/>
    <s v="Ram Agencies"/>
    <x v="28"/>
    <n v="124.34545454545453"/>
    <n v="136.78"/>
    <n v="139.32"/>
    <n v="12.434545454545471"/>
  </r>
  <r>
    <s v="Duphalac Syrup"/>
    <s v="Gastro Tabs"/>
    <n v="1"/>
    <s v="Ram Agencies"/>
    <x v="28"/>
    <n v="227.27272727272725"/>
    <n v="250"/>
    <n v="254.62"/>
    <n v="22.727272727272748"/>
  </r>
  <r>
    <s v="Dexona Tab"/>
    <s v="Anti-microbial"/>
    <n v="5"/>
    <s v="Ram Agencies"/>
    <x v="28"/>
    <n v="4.8"/>
    <n v="5.28"/>
    <n v="26.89"/>
    <n v="0.48000000000000043"/>
  </r>
  <r>
    <s v="Eumosone M Cream"/>
    <s v="Anti-microbial"/>
    <n v="1"/>
    <s v="Ram Agencies"/>
    <x v="28"/>
    <n v="96.072727272727278"/>
    <n v="105.68"/>
    <n v="107.63"/>
    <n v="9.6072727272727292"/>
  </r>
  <r>
    <s v="Betadine G 2% "/>
    <s v="First Aid"/>
    <n v="1"/>
    <s v="Ram Agencies"/>
    <x v="28"/>
    <n v="131.81818181818181"/>
    <n v="145"/>
    <n v="147.69"/>
    <n v="13.181818181818187"/>
  </r>
  <r>
    <s v="Cosmelite Next Cream"/>
    <s v="Skincare"/>
    <n v="4"/>
    <s v="Avenues Pharma "/>
    <x v="28"/>
    <n v="426.49999999999994"/>
    <n v="469.15"/>
    <n v="5369.89"/>
    <n v="42.650000000000034"/>
  </r>
  <r>
    <s v="Disokem Lotion"/>
    <s v="Skincare"/>
    <n v="22"/>
    <s v="JMJ Pharma"/>
    <x v="29"/>
    <n v="202.24545454545452"/>
    <n v="222.47"/>
    <n v="4449.3999999999996"/>
    <n v="20.224545454545478"/>
  </r>
  <r>
    <s v="Fairvit Soap"/>
    <s v="Skincare"/>
    <n v="33"/>
    <s v="JMJ Pharma"/>
    <x v="29"/>
    <n v="78.272727272727266"/>
    <n v="86.1"/>
    <n v="2583"/>
    <n v="7.827272727272728"/>
  </r>
  <r>
    <s v="Minoking-50 DT"/>
    <s v="Pain Relief"/>
    <n v="11"/>
    <s v="JMJ Pharma"/>
    <x v="29"/>
    <n v="187.0090909090909"/>
    <n v="205.71"/>
    <n v="2057.1"/>
    <n v="18.700909090909107"/>
  </r>
  <r>
    <s v="Eberfine XL Cream"/>
    <s v="Anti-microbial"/>
    <n v="12"/>
    <s v="RSM Pharma"/>
    <x v="29"/>
    <n v="334.41818181818178"/>
    <n v="367.86"/>
    <n v="3746.66"/>
    <n v="33.441818181818235"/>
  </r>
  <r>
    <s v="Mildy Shampoo "/>
    <s v="Body Care"/>
    <n v="1"/>
    <s v="RSM Pharma"/>
    <x v="29"/>
    <n v="138.5272727272727"/>
    <n v="152.38"/>
    <n v="155.21"/>
    <n v="13.852727272727293"/>
  </r>
  <r>
    <s v="Ecosprin AV 75/40 Cap"/>
    <s v="Cardiovascular"/>
    <n v="3"/>
    <s v="RSM Pharma"/>
    <x v="29"/>
    <n v="241.25454545454542"/>
    <n v="265.38"/>
    <n v="510.54"/>
    <n v="24.125454545454573"/>
  </r>
  <r>
    <s v="Picon cream "/>
    <s v="Anti-microbial"/>
    <n v="2"/>
    <s v="RSM Pharma"/>
    <x v="29"/>
    <n v="457.85454545454542"/>
    <n v="503.64"/>
    <n v="1025.92"/>
    <n v="45.78545454545457"/>
  </r>
  <r>
    <s v="Tenovate M Cream"/>
    <s v="Anti-microbial"/>
    <n v="1"/>
    <s v="RSM Pharma"/>
    <x v="29"/>
    <n v="78.054545454545448"/>
    <n v="85.86"/>
    <n v="87.44"/>
    <n v="7.8054545454545519"/>
  </r>
  <r>
    <s v="Lorfast Meltab"/>
    <s v="Anti-microbial"/>
    <n v="3"/>
    <s v="RSM Pharma"/>
    <x v="29"/>
    <n v="89.609090909090895"/>
    <n v="98.57"/>
    <n v="301.18"/>
    <n v="8.960909090909098"/>
  </r>
  <r>
    <s v="Thyronorm 75MCG 120'S Tab"/>
    <s v="Vitamins/Minerals"/>
    <n v="1"/>
    <s v="RSM Pharma"/>
    <x v="29"/>
    <n v="127.42727272727271"/>
    <n v="140.16999999999999"/>
    <n v="142.76"/>
    <n v="12.742727272727279"/>
  </r>
  <r>
    <s v="Kera XL Hair Growth Serum"/>
    <s v="Body Care"/>
    <n v="1"/>
    <s v="RSM Pharma"/>
    <x v="29"/>
    <n v="857.93636363636358"/>
    <n v="943.73"/>
    <n v="1080.2"/>
    <n v="85.793636363636438"/>
  </r>
  <r>
    <s v="Kerabounce Shampoo"/>
    <s v="Body Care"/>
    <n v="1"/>
    <s v="RSM Pharma"/>
    <x v="29"/>
    <n v="323.46363636363634"/>
    <n v="355.81"/>
    <n v="362.4"/>
    <n v="32.346363636363662"/>
  </r>
  <r>
    <s v="Torplat 60MG Tab"/>
    <s v="Cardiovascular"/>
    <n v="6"/>
    <s v="RSM Pharma"/>
    <x v="29"/>
    <n v="141.85454545454544"/>
    <n v="156.04"/>
    <n v="953.55"/>
    <n v="14.185454545454547"/>
  </r>
  <r>
    <s v="Aziderm Plus "/>
    <s v="Skincare"/>
    <n v="1"/>
    <s v="RSM Pharma"/>
    <x v="29"/>
    <n v="422.08181818181816"/>
    <n v="464.29"/>
    <n v="472.88"/>
    <n v="42.208181818181856"/>
  </r>
  <r>
    <s v="Megalis D Tab"/>
    <s v="Pain Relief"/>
    <n v="1"/>
    <s v="RSM Pharma"/>
    <x v="29"/>
    <n v="252.14545454545453"/>
    <n v="277.36"/>
    <n v="282.5"/>
    <n v="25.214545454545487"/>
  </r>
  <r>
    <s v="Oxra S Tab"/>
    <s v="Diabetes"/>
    <n v="2"/>
    <s v="RSM Pharma"/>
    <x v="29"/>
    <n v="208.44545454545451"/>
    <n v="229.29"/>
    <n v="467.06"/>
    <n v="20.844545454545482"/>
  </r>
  <r>
    <s v="Nebicard T Tab"/>
    <s v="Cardiovascular"/>
    <n v="1"/>
    <s v="RSM Pharma"/>
    <x v="29"/>
    <n v="232.40909090909091"/>
    <n v="255.65"/>
    <n v="260.38"/>
    <n v="23.240909090909099"/>
  </r>
  <r>
    <m/>
    <m/>
    <m/>
    <m/>
    <x v="30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Lecmon-AM"/>
    <x v="0"/>
    <n v="15"/>
    <d v="2025-09-01T00:00:00"/>
    <n v="169"/>
    <n v="2535"/>
  </r>
  <r>
    <s v="Proanagen Tabs"/>
    <x v="1"/>
    <n v="5"/>
    <d v="2025-11-01T00:00:00"/>
    <n v="263"/>
    <n v="1315"/>
  </r>
  <r>
    <s v="Xaliderm Solution"/>
    <x v="2"/>
    <n v="35"/>
    <d v="2025-11-01T00:00:00"/>
    <n v="299"/>
    <n v="10465"/>
  </r>
  <r>
    <s v="Everolimus"/>
    <x v="2"/>
    <n v="25"/>
    <d v="2025-12-01T00:00:00"/>
    <n v="191.66"/>
    <n v="4791.5"/>
  </r>
  <r>
    <s v="Prednisone"/>
    <x v="2"/>
    <n v="15"/>
    <d v="2025-11-01T00:00:00"/>
    <n v="70.56"/>
    <n v="1058.4000000000001"/>
  </r>
  <r>
    <s v="Terbinaforce 500"/>
    <x v="0"/>
    <n v="10"/>
    <d v="2025-07-01T00:00:00"/>
    <n v="184.47"/>
    <n v="1844.7"/>
  </r>
  <r>
    <s v="Methylprednisolone"/>
    <x v="2"/>
    <n v="15"/>
    <d v="2025-12-01T00:00:00"/>
    <n v="143.37"/>
    <n v="2150.5500000000002"/>
  </r>
  <r>
    <s v="Ocid 20"/>
    <x v="3"/>
    <n v="10"/>
    <d v="2025-09-01T00:00:00"/>
    <n v="64.28"/>
    <n v="642.79999999999995"/>
  </r>
  <r>
    <s v="Tacrolimus"/>
    <x v="2"/>
    <n v="8"/>
    <d v="2026-01-01T00:00:00"/>
    <n v="249"/>
    <n v="1992"/>
  </r>
  <r>
    <s v="Metsmall 500"/>
    <x v="2"/>
    <n v="9"/>
    <d v="2025-11-01T00:00:00"/>
    <n v="54"/>
    <n v="486"/>
  </r>
  <r>
    <s v="Cyclosporine"/>
    <x v="2"/>
    <n v="20"/>
    <d v="2025-12-01T00:00:00"/>
    <n v="32.04"/>
    <n v="640.79999999999995"/>
  </r>
  <r>
    <s v="Infliximab"/>
    <x v="2"/>
    <n v="9"/>
    <d v="2025-06-01T00:00:00"/>
    <n v="64.959999999999994"/>
    <n v="584.64"/>
  </r>
  <r>
    <s v="Sinarest"/>
    <x v="4"/>
    <n v="15"/>
    <d v="2025-09-01T00:00:00"/>
    <n v="133.75"/>
    <n v="2006.25"/>
  </r>
  <r>
    <s v="Alembic"/>
    <x v="1"/>
    <n v="5"/>
    <d v="2025-11-01T00:00:00"/>
    <n v="726"/>
    <n v="3630"/>
  </r>
  <r>
    <s v="ItchInsta"/>
    <x v="1"/>
    <n v="5"/>
    <d v="2025-11-01T00:00:00"/>
    <n v="305"/>
    <n v="1525"/>
  </r>
  <r>
    <s v="Suncros"/>
    <x v="5"/>
    <n v="8"/>
    <d v="2015-08-01T00:00:00"/>
    <n v="850"/>
    <n v="6800"/>
  </r>
  <r>
    <s v="Itrazet-200"/>
    <x v="6"/>
    <n v="10"/>
    <d v="2025-12-01T00:00:00"/>
    <n v="247.5"/>
    <n v="2475"/>
  </r>
  <r>
    <s v="Mycophenolate Mofetil"/>
    <x v="2"/>
    <n v="20"/>
    <d v="2026-01-01T00:00:00"/>
    <n v="108.05"/>
    <n v="2161"/>
  </r>
  <r>
    <s v="Laveta M"/>
    <x v="6"/>
    <n v="9"/>
    <d v="2025-12-01T00:00:00"/>
    <n v="221.35"/>
    <n v="1992.1499999999999"/>
  </r>
  <r>
    <s v="Azathioprine"/>
    <x v="2"/>
    <n v="14"/>
    <d v="2025-11-01T00:00:00"/>
    <n v="443.76"/>
    <n v="6212.6399999999994"/>
  </r>
  <r>
    <s v="Inclofax"/>
    <x v="6"/>
    <n v="10"/>
    <d v="2025-07-01T00:00:00"/>
    <n v="52"/>
    <n v="520"/>
  </r>
  <r>
    <s v="Dailycal-500"/>
    <x v="7"/>
    <n v="7"/>
    <d v="2025-11-01T00:00:00"/>
    <n v="60"/>
    <n v="420"/>
  </r>
  <r>
    <s v="Methotrexate"/>
    <x v="2"/>
    <n v="10"/>
    <d v="2025-11-01T00:00:00"/>
    <n v="199"/>
    <n v="1990"/>
  </r>
  <r>
    <s v="Niglow"/>
    <x v="1"/>
    <n v="6"/>
    <d v="2025-11-01T00:00:00"/>
    <n v="350"/>
    <n v="2100"/>
  </r>
  <r>
    <s v="Glenmark"/>
    <x v="1"/>
    <n v="7"/>
    <d v="2025-11-01T00:00:00"/>
    <n v="33.340000000000003"/>
    <n v="233.38000000000002"/>
  </r>
  <r>
    <s v="Sirolimus"/>
    <x v="2"/>
    <n v="10"/>
    <d v="2025-11-01T00:00:00"/>
    <n v="13.55"/>
    <n v="135.5"/>
  </r>
  <r>
    <s v="Lamitor"/>
    <x v="2"/>
    <n v="25"/>
    <d v="2025-11-01T00:00:00"/>
    <n v="274.75"/>
    <n v="6868.75"/>
  </r>
  <r>
    <s v="Rituximab"/>
    <x v="2"/>
    <n v="15"/>
    <d v="2026-01-01T00:00:00"/>
    <n v="126.5"/>
    <n v="1897.5"/>
  </r>
  <r>
    <s v="Ozalel"/>
    <x v="6"/>
    <n v="8"/>
    <d v="2025-12-01T00:00:00"/>
    <n v="225"/>
    <n v="1800"/>
  </r>
  <r>
    <s v="Rozalet 20"/>
    <x v="8"/>
    <n v="15"/>
    <d v="2025-12-01T00:00:00"/>
    <n v="225"/>
    <n v="3375"/>
  </r>
  <r>
    <s v="Montair"/>
    <x v="6"/>
    <n v="9"/>
    <d v="2025-12-01T00:00:00"/>
    <n v="175.56"/>
    <n v="1580.04"/>
  </r>
  <r>
    <s v="Allopurinol"/>
    <x v="6"/>
    <n v="9"/>
    <d v="2025-11-01T00:00:00"/>
    <n v="56.22"/>
    <n v="505.98"/>
  </r>
  <r>
    <s v="Istavel"/>
    <x v="9"/>
    <n v="12"/>
    <d v="2025-07-01T00:00:00"/>
    <n v="142"/>
    <n v="1704"/>
  </r>
  <r>
    <s v="S-clear Cream"/>
    <x v="1"/>
    <n v="7"/>
    <d v="2025-12-01T00:00:00"/>
    <n v="247"/>
    <n v="1729"/>
  </r>
  <r>
    <s v="Glucoryl MV1"/>
    <x v="9"/>
    <n v="15"/>
    <d v="2025-10-01T00:00:00"/>
    <n v="269"/>
    <n v="4035"/>
  </r>
  <r>
    <s v="Hairbless Tablet"/>
    <x v="7"/>
    <n v="12"/>
    <d v="2025-10-01T00:00:00"/>
    <n v="365"/>
    <n v="4380"/>
  </r>
  <r>
    <s v="Tarsalic Lotion"/>
    <x v="1"/>
    <n v="5"/>
    <d v="2025-11-01T00:00:00"/>
    <n v="174.5"/>
    <n v="872.5"/>
  </r>
  <r>
    <s v="Glycomet-GP "/>
    <x v="9"/>
    <n v="7"/>
    <d v="2025-12-01T00:00:00"/>
    <n v="180"/>
    <n v="1260"/>
  </r>
  <r>
    <s v="Supermet XL "/>
    <x v="8"/>
    <n v="15"/>
    <d v="2026-01-01T00:00:00"/>
    <n v="63.5"/>
    <n v="952.5"/>
  </r>
  <r>
    <s v="IFIN 500MG "/>
    <x v="6"/>
    <n v="10"/>
    <d v="2025-11-01T00:00:00"/>
    <n v="219"/>
    <n v="2190"/>
  </r>
  <r>
    <s v="Fenobate  Capsule"/>
    <x v="8"/>
    <n v="20"/>
    <d v="2025-07-01T00:00:00"/>
    <n v="65"/>
    <n v="1300"/>
  </r>
  <r>
    <s v="Nogacid Capsule"/>
    <x v="3"/>
    <n v="12"/>
    <d v="2025-10-01T00:00:00"/>
    <n v="45.5"/>
    <n v="546"/>
  </r>
  <r>
    <s v="Losatus AM Tablet"/>
    <x v="8"/>
    <n v="10"/>
    <d v="2025-11-01T00:00:00"/>
    <n v="76.88"/>
    <n v="768.8"/>
  </r>
  <r>
    <s v="Glycomet Tablet "/>
    <x v="9"/>
    <n v="15"/>
    <d v="2025-12-01T00:00:00"/>
    <n v="19"/>
    <n v="285"/>
  </r>
  <r>
    <s v="Tenolol 50MG"/>
    <x v="8"/>
    <n v="20"/>
    <d v="2025-09-01T00:00:00"/>
    <n v="35"/>
    <n v="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6E4C9-9A93-4E8E-8C99-0AA2479F37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9" firstHeaderRow="0" firstDataRow="1" firstDataCol="1"/>
  <pivotFields count="11">
    <pivotField showAll="0"/>
    <pivotField showAll="0"/>
    <pivotField axis="axisRow" showAll="0" sortType="descending">
      <items count="16">
        <item x="1"/>
        <item x="7"/>
        <item x="2"/>
        <item x="5"/>
        <item x="3"/>
        <item x="9"/>
        <item x="12"/>
        <item x="4"/>
        <item x="13"/>
        <item x="8"/>
        <item x="6"/>
        <item x="0"/>
        <item x="10"/>
        <item x="11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6">
    <i>
      <x v="11"/>
    </i>
    <i>
      <x/>
    </i>
    <i>
      <x v="2"/>
    </i>
    <i>
      <x v="13"/>
    </i>
    <i>
      <x v="9"/>
    </i>
    <i>
      <x v="3"/>
    </i>
    <i>
      <x v="12"/>
    </i>
    <i>
      <x v="5"/>
    </i>
    <i>
      <x v="7"/>
    </i>
    <i>
      <x v="10"/>
    </i>
    <i>
      <x v="4"/>
    </i>
    <i>
      <x v="6"/>
    </i>
    <i>
      <x v="1"/>
    </i>
    <i>
      <x v="8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Value" fld="8" baseField="0" baseItem="0"/>
    <dataField name="Sum of Quantity" fld="3" baseField="0" baseItem="0"/>
  </dataFields>
  <formats count="1">
    <format dxfId="8">
      <pivotArea collapsedLevelsAreSubtotals="1" fieldPosition="0">
        <references count="2">
          <reference field="4294967294" count="1" selected="0">
            <x v="0"/>
          </reference>
          <reference field="2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3BBF4-1FF6-40BC-9303-BA1F7752A7B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P42:Q53" firstHeaderRow="1" firstDataRow="1" firstDataCol="1"/>
  <pivotFields count="6">
    <pivotField showAll="0"/>
    <pivotField axis="axisRow" showAll="0">
      <items count="13">
        <item m="1" x="10"/>
        <item x="0"/>
        <item x="8"/>
        <item x="4"/>
        <item x="9"/>
        <item x="6"/>
        <item x="1"/>
        <item m="1" x="11"/>
        <item x="5"/>
        <item x="7"/>
        <item x="2"/>
        <item x="3"/>
        <item t="default"/>
      </items>
    </pivotField>
    <pivotField showAll="0"/>
    <pivotField numFmtId="164" showAll="0"/>
    <pivotField showAll="0"/>
    <pivotField dataField="1"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" fld="5" baseField="0" baseItem="0"/>
  </dataFields>
  <chartFormats count="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5FA7E-1414-42A4-90F2-5B4D5B9B317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2:E37" firstHeaderRow="1" firstDataRow="1" firstDataCol="1"/>
  <pivotFields count="11">
    <pivotField showAll="0"/>
    <pivotField showAll="0"/>
    <pivotField axis="axisRow" showAll="0">
      <items count="16">
        <item x="1"/>
        <item x="7"/>
        <item x="2"/>
        <item x="5"/>
        <item x="3"/>
        <item x="9"/>
        <item x="12"/>
        <item x="4"/>
        <item x="13"/>
        <item x="8"/>
        <item x="6"/>
        <item x="0"/>
        <item x="10"/>
        <item x="11"/>
        <item h="1"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uanti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B6DB5-67D9-4350-9BA5-B96885C402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F19" firstHeaderRow="0" firstDataRow="1" firstDataCol="1"/>
  <pivotFields count="11">
    <pivotField showAll="0"/>
    <pivotField showAll="0"/>
    <pivotField axis="axisRow" showAll="0">
      <items count="16">
        <item x="1"/>
        <item x="7"/>
        <item x="2"/>
        <item x="5"/>
        <item x="3"/>
        <item x="9"/>
        <item x="12"/>
        <item x="4"/>
        <item x="13"/>
        <item x="8"/>
        <item x="6"/>
        <item x="0"/>
        <item x="10"/>
        <item x="11"/>
        <item h="1" x="14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Sum of Selling Pric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A7A72-2F51-4324-821D-D8B3D7365F50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S53" firstHeaderRow="1" firstDataRow="2" firstDataCol="1"/>
  <pivotFields count="11">
    <pivotField showAll="0"/>
    <pivotField showAll="0"/>
    <pivotField axis="axisCol" showAll="0">
      <items count="16">
        <item x="1"/>
        <item x="7"/>
        <item x="2"/>
        <item x="5"/>
        <item x="3"/>
        <item x="9"/>
        <item x="12"/>
        <item x="4"/>
        <item x="13"/>
        <item x="8"/>
        <item x="6"/>
        <item x="0"/>
        <item x="10"/>
        <item x="11"/>
        <item h="1" x="14"/>
        <item t="default"/>
      </items>
    </pivotField>
    <pivotField dataField="1" showAll="0"/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0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Quantity" fld="3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5569F-403F-4B48-9962-1FB3D9C801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8:F54" firstHeaderRow="1" firstDataRow="1" firstDataCol="1"/>
  <pivotFields count="11">
    <pivotField showAll="0"/>
    <pivotField showAll="0"/>
    <pivotField axis="axisRow" showAll="0">
      <items count="16">
        <item x="1"/>
        <item x="7"/>
        <item x="2"/>
        <item x="5"/>
        <item x="3"/>
        <item x="9"/>
        <item x="12"/>
        <item x="4"/>
        <item x="13"/>
        <item x="8"/>
        <item x="6"/>
        <item x="0"/>
        <item x="10"/>
        <item x="11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Profit" fld="10" baseField="2" baseItem="0"/>
  </dataFields>
  <formats count="1">
    <format dxfId="9">
      <pivotArea collapsedLevelsAreSubtotals="1" fieldPosition="0">
        <references count="1">
          <reference field="2" count="1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916ED-DCC8-4D8B-B4AB-BA0911BE935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Q5:R21" firstHeaderRow="1" firstDataRow="1" firstDataCol="1"/>
  <pivotFields count="10">
    <pivotField showAll="0"/>
    <pivotField showAll="0"/>
    <pivotField axis="axisRow" showAll="0">
      <items count="17">
        <item x="1"/>
        <item x="7"/>
        <item x="2"/>
        <item x="5"/>
        <item x="3"/>
        <item x="9"/>
        <item x="12"/>
        <item x="4"/>
        <item m="1" x="15"/>
        <item x="13"/>
        <item x="8"/>
        <item x="6"/>
        <item x="0"/>
        <item x="10"/>
        <item x="11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Quantity" fld="3" baseField="0" baseItem="0"/>
  </dataFields>
  <chartFormats count="1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C945B-CEEB-4D82-9832-A2936868084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3:B18" firstHeaderRow="1" firstDataRow="1" firstDataCol="1"/>
  <pivotFields count="10">
    <pivotField showAll="0"/>
    <pivotField showAll="0"/>
    <pivotField axis="axisRow" showAll="0">
      <items count="17">
        <item x="1"/>
        <item x="7"/>
        <item x="2"/>
        <item x="5"/>
        <item x="3"/>
        <item x="9"/>
        <item x="12"/>
        <item x="4"/>
        <item m="1" x="15"/>
        <item x="13"/>
        <item x="8"/>
        <item x="6"/>
        <item x="0"/>
        <item x="10"/>
        <item x="11"/>
        <item h="1" x="1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Net Value" fld="8" baseField="0" baseItem="0"/>
  </dataFields>
  <formats count="1">
    <format dxfId="10">
      <pivotArea collapsedLevelsAreSubtotals="1" fieldPosition="0">
        <references count="1">
          <reference field="2" count="14">
            <x v="0"/>
            <x v="1"/>
            <x v="2"/>
            <x v="3"/>
            <x v="4"/>
            <x v="5"/>
            <x v="6"/>
            <x v="7"/>
            <x v="9"/>
            <x v="10"/>
            <x v="11"/>
            <x v="12"/>
            <x v="13"/>
            <x v="14"/>
          </reference>
        </references>
      </pivotArea>
    </format>
  </formats>
  <chartFormats count="3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3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9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3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3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CB7AE-FA28-4651-B3C8-74AB239007C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34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0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 of Total Profit" fld="10" baseField="0" baseItem="0" numFmtId="167"/>
  </dataFields>
  <formats count="3">
    <format dxfId="3">
      <pivotArea collapsedLevelsAreSubtotals="1" fieldPosition="0">
        <references count="1">
          <reference field="5" count="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23A18-A022-40EB-B6E7-0B87522AC89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35" firstHeaderRow="1" firstDataRow="1" firstDataCol="1"/>
  <pivotFields count="9">
    <pivotField showAll="0"/>
    <pivotField showAll="0"/>
    <pivotField showAll="0"/>
    <pivotField showAll="0"/>
    <pivotField axis="axisRow" showAll="0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0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howAll="0"/>
    <pivotField showAll="0"/>
    <pivotField dataField="1" showAll="0"/>
    <pivotField showAll="0"/>
  </pivotFields>
  <rowFields count="1">
    <field x="4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Net Value" fld="7" baseField="4" baseItem="0" numFmtId="167"/>
  </dataFields>
  <formats count="4">
    <format dxfId="7">
      <pivotArea collapsedLevelsAreSubtotals="1" fieldPosition="0">
        <references count="1">
          <reference field="4" count="0"/>
        </references>
      </pivotArea>
    </format>
    <format dxfId="6">
      <pivotArea grandRow="1" outline="0" collapsedLevelsAreSubtotals="1" fieldPosition="0"/>
    </format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9429C-C2CF-49E8-9A79-FE390DCD271A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14" firstHeaderRow="1" firstDataRow="1" firstDataCol="1"/>
  <pivotFields count="6">
    <pivotField showAll="0"/>
    <pivotField axis="axisRow" showAll="0">
      <items count="13">
        <item m="1" x="10"/>
        <item x="0"/>
        <item x="8"/>
        <item x="4"/>
        <item x="9"/>
        <item x="6"/>
        <item x="1"/>
        <item m="1" x="11"/>
        <item x="5"/>
        <item x="7"/>
        <item x="2"/>
        <item x="3"/>
        <item t="default"/>
      </items>
    </pivotField>
    <pivotField dataField="1" showAll="0"/>
    <pivotField numFmtId="164"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373F3-A790-40DB-847A-A427748D9445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I3:J14" firstHeaderRow="1" firstDataRow="1" firstDataCol="1"/>
  <pivotFields count="6">
    <pivotField showAll="0"/>
    <pivotField axis="axisRow" showAll="0">
      <items count="13">
        <item m="1" x="10"/>
        <item x="0"/>
        <item x="8"/>
        <item x="4"/>
        <item x="9"/>
        <item x="6"/>
        <item x="1"/>
        <item m="1" x="11"/>
        <item x="5"/>
        <item x="7"/>
        <item x="2"/>
        <item x="3"/>
        <item t="default"/>
      </items>
    </pivotField>
    <pivotField showAll="0"/>
    <pivotField numFmtId="164" showAll="0"/>
    <pivotField showAll="0"/>
    <pivotField dataField="1"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" fld="5" baseField="0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chartFormats count="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DD16-D039-4E3C-8A5D-2567754724B0}">
  <dimension ref="A1:P583"/>
  <sheetViews>
    <sheetView topLeftCell="B1" zoomScale="43" zoomScaleNormal="85" workbookViewId="0">
      <selection activeCell="S11" sqref="S11"/>
    </sheetView>
  </sheetViews>
  <sheetFormatPr defaultRowHeight="14.5" x14ac:dyDescent="0.35"/>
  <cols>
    <col min="1" max="1" width="17.54296875" customWidth="1"/>
    <col min="2" max="2" width="25.6328125" customWidth="1"/>
    <col min="3" max="3" width="13.6328125" customWidth="1"/>
    <col min="4" max="4" width="12.453125" customWidth="1"/>
    <col min="5" max="5" width="25.36328125" customWidth="1"/>
    <col min="6" max="6" width="18.81640625" customWidth="1"/>
    <col min="7" max="7" width="27.90625" customWidth="1"/>
    <col min="8" max="8" width="24.08984375" style="20" customWidth="1"/>
    <col min="9" max="9" width="18.7265625" style="20" customWidth="1"/>
    <col min="10" max="10" width="26.90625" style="20" customWidth="1"/>
    <col min="11" max="11" width="22.08984375" style="20" customWidth="1"/>
    <col min="12" max="12" width="13.1796875" style="23" customWidth="1"/>
    <col min="13" max="13" width="20.54296875" style="20" customWidth="1"/>
    <col min="14" max="14" width="21.453125" style="23" customWidth="1"/>
    <col min="15" max="15" width="20.6328125" style="20" customWidth="1"/>
    <col min="16" max="16" width="21.453125" style="20" customWidth="1"/>
  </cols>
  <sheetData>
    <row r="1" spans="1:16" s="6" customFormat="1" x14ac:dyDescent="0.35">
      <c r="A1" s="6" t="s">
        <v>0</v>
      </c>
      <c r="B1" s="6" t="s">
        <v>1</v>
      </c>
      <c r="C1" s="6" t="s">
        <v>4</v>
      </c>
      <c r="D1" s="6" t="s">
        <v>2</v>
      </c>
      <c r="E1" s="6" t="s">
        <v>10</v>
      </c>
      <c r="F1" s="6" t="s">
        <v>1092</v>
      </c>
      <c r="G1" s="6" t="s">
        <v>8</v>
      </c>
      <c r="H1" s="21" t="s">
        <v>6</v>
      </c>
      <c r="I1" s="21" t="s">
        <v>3</v>
      </c>
      <c r="J1" s="21" t="s">
        <v>5</v>
      </c>
      <c r="K1" s="21" t="s">
        <v>7</v>
      </c>
      <c r="L1" s="22" t="s">
        <v>39</v>
      </c>
      <c r="M1" s="21" t="s">
        <v>40</v>
      </c>
      <c r="N1" s="22" t="s">
        <v>38</v>
      </c>
      <c r="O1" s="21" t="s">
        <v>41</v>
      </c>
      <c r="P1" s="21" t="s">
        <v>9</v>
      </c>
    </row>
    <row r="2" spans="1:16" x14ac:dyDescent="0.35">
      <c r="A2">
        <v>1</v>
      </c>
      <c r="B2" t="s">
        <v>12</v>
      </c>
      <c r="C2" t="s">
        <v>24</v>
      </c>
      <c r="D2">
        <v>1</v>
      </c>
      <c r="E2" t="s">
        <v>37</v>
      </c>
      <c r="F2" s="2">
        <v>45931</v>
      </c>
      <c r="G2" s="3">
        <v>46478</v>
      </c>
      <c r="H2" s="20">
        <v>155.31818181818181</v>
      </c>
      <c r="I2" s="20">
        <v>252</v>
      </c>
      <c r="J2" s="20">
        <v>170.85</v>
      </c>
      <c r="K2" s="20">
        <v>165.72</v>
      </c>
      <c r="L2" s="23">
        <v>9</v>
      </c>
      <c r="M2" s="20">
        <v>14.91</v>
      </c>
      <c r="N2" s="23">
        <v>9</v>
      </c>
      <c r="O2" s="20">
        <v>14.91</v>
      </c>
      <c r="P2" s="20">
        <v>195.54</v>
      </c>
    </row>
    <row r="3" spans="1:16" x14ac:dyDescent="0.35">
      <c r="A3">
        <v>2</v>
      </c>
      <c r="B3" t="s">
        <v>11</v>
      </c>
      <c r="C3" t="s">
        <v>25</v>
      </c>
      <c r="D3">
        <v>2</v>
      </c>
      <c r="E3" t="s">
        <v>37</v>
      </c>
      <c r="F3" s="2">
        <v>45931</v>
      </c>
      <c r="G3" s="3">
        <v>46508</v>
      </c>
      <c r="H3" s="20">
        <v>546.1</v>
      </c>
      <c r="I3" s="20">
        <v>788.44</v>
      </c>
      <c r="J3" s="20">
        <v>600.71</v>
      </c>
      <c r="K3" s="20">
        <v>1165.3800000000001</v>
      </c>
      <c r="L3" s="23">
        <v>2.5</v>
      </c>
      <c r="M3" s="20">
        <v>29.13</v>
      </c>
      <c r="N3" s="23">
        <v>2.5</v>
      </c>
      <c r="O3" s="20">
        <v>29.13</v>
      </c>
      <c r="P3" s="20">
        <v>1223.6400000000001</v>
      </c>
    </row>
    <row r="4" spans="1:16" x14ac:dyDescent="0.35">
      <c r="A4">
        <v>3</v>
      </c>
      <c r="B4" t="s">
        <v>13</v>
      </c>
      <c r="C4" t="s">
        <v>26</v>
      </c>
      <c r="D4">
        <v>2</v>
      </c>
      <c r="E4" t="s">
        <v>37</v>
      </c>
      <c r="F4" s="2">
        <v>45931</v>
      </c>
      <c r="G4" s="3">
        <v>46478</v>
      </c>
      <c r="H4" s="20">
        <v>323.58181818181816</v>
      </c>
      <c r="I4" s="20">
        <v>525</v>
      </c>
      <c r="J4" s="20">
        <v>355.94</v>
      </c>
      <c r="K4" s="20">
        <v>690.52</v>
      </c>
      <c r="L4" s="23">
        <v>9</v>
      </c>
      <c r="M4" s="20">
        <v>62.15</v>
      </c>
      <c r="N4" s="23">
        <v>9</v>
      </c>
      <c r="O4" s="20">
        <v>62.15</v>
      </c>
      <c r="P4" s="20">
        <v>814.82</v>
      </c>
    </row>
    <row r="5" spans="1:16" x14ac:dyDescent="0.35">
      <c r="A5">
        <v>4</v>
      </c>
      <c r="B5" t="s">
        <v>14</v>
      </c>
      <c r="C5" t="s">
        <v>28</v>
      </c>
      <c r="D5">
        <v>5</v>
      </c>
      <c r="E5" t="s">
        <v>37</v>
      </c>
      <c r="F5" s="2">
        <v>45931</v>
      </c>
      <c r="G5" s="3">
        <v>46388</v>
      </c>
      <c r="H5" s="20">
        <v>219.48181818181817</v>
      </c>
      <c r="I5" s="20">
        <v>316.88</v>
      </c>
      <c r="J5" s="20">
        <v>241.43</v>
      </c>
      <c r="K5" s="20">
        <v>1170.94</v>
      </c>
      <c r="L5" s="23">
        <v>2.5</v>
      </c>
      <c r="M5" s="20">
        <v>29.27</v>
      </c>
      <c r="N5" s="23">
        <v>2.5</v>
      </c>
      <c r="O5" s="20">
        <v>29.27</v>
      </c>
      <c r="P5" s="20">
        <v>1229.48</v>
      </c>
    </row>
    <row r="6" spans="1:16" x14ac:dyDescent="0.35">
      <c r="A6">
        <v>5</v>
      </c>
      <c r="B6" t="s">
        <v>15</v>
      </c>
      <c r="C6" t="s">
        <v>27</v>
      </c>
      <c r="D6">
        <v>3</v>
      </c>
      <c r="E6" t="s">
        <v>37</v>
      </c>
      <c r="F6" s="2">
        <v>45931</v>
      </c>
      <c r="G6" s="3">
        <v>46508</v>
      </c>
      <c r="H6" s="20">
        <v>225.97272727272724</v>
      </c>
      <c r="I6" s="20">
        <v>326.25</v>
      </c>
      <c r="J6" s="20">
        <v>248.57</v>
      </c>
      <c r="K6" s="20">
        <v>723.34</v>
      </c>
      <c r="L6" s="23">
        <v>2.5</v>
      </c>
      <c r="M6" s="20">
        <v>18.079999999999998</v>
      </c>
      <c r="N6" s="23">
        <v>2.5</v>
      </c>
      <c r="O6" s="20">
        <v>18.079999999999998</v>
      </c>
      <c r="P6" s="20">
        <v>759.5</v>
      </c>
    </row>
    <row r="7" spans="1:16" x14ac:dyDescent="0.35">
      <c r="A7">
        <v>6</v>
      </c>
      <c r="B7" t="s">
        <v>16</v>
      </c>
      <c r="C7" t="s">
        <v>29</v>
      </c>
      <c r="D7">
        <v>1</v>
      </c>
      <c r="E7" t="s">
        <v>37</v>
      </c>
      <c r="F7" s="2">
        <v>45931</v>
      </c>
      <c r="G7" s="3">
        <v>46631</v>
      </c>
      <c r="H7" s="20">
        <v>169.49090909090907</v>
      </c>
      <c r="I7" s="20">
        <v>244.7</v>
      </c>
      <c r="J7" s="20">
        <v>186.44</v>
      </c>
      <c r="K7" s="20">
        <v>186.44</v>
      </c>
      <c r="L7" s="23">
        <v>9</v>
      </c>
      <c r="M7" s="20">
        <v>16.78</v>
      </c>
      <c r="N7" s="23">
        <v>9</v>
      </c>
      <c r="O7" s="20">
        <v>16.78</v>
      </c>
      <c r="P7" s="20">
        <v>220</v>
      </c>
    </row>
    <row r="8" spans="1:16" x14ac:dyDescent="0.35">
      <c r="A8">
        <v>7</v>
      </c>
      <c r="B8" t="s">
        <v>17</v>
      </c>
      <c r="C8" t="s">
        <v>30</v>
      </c>
      <c r="D8">
        <v>1</v>
      </c>
      <c r="E8" t="s">
        <v>37</v>
      </c>
      <c r="F8" s="2">
        <v>45931</v>
      </c>
      <c r="G8" s="3">
        <v>46478</v>
      </c>
      <c r="H8" s="20">
        <v>146.1</v>
      </c>
      <c r="I8" s="20">
        <v>210.94</v>
      </c>
      <c r="J8" s="20">
        <v>160.71</v>
      </c>
      <c r="K8" s="20">
        <v>155.88999999999999</v>
      </c>
      <c r="L8" s="23">
        <v>2.5</v>
      </c>
      <c r="M8" s="20">
        <v>3.9</v>
      </c>
      <c r="N8" s="23">
        <v>2.5</v>
      </c>
      <c r="O8" s="20">
        <v>3.9</v>
      </c>
      <c r="P8" s="20">
        <v>163.69</v>
      </c>
    </row>
    <row r="9" spans="1:16" x14ac:dyDescent="0.35">
      <c r="A9">
        <v>8</v>
      </c>
      <c r="B9" t="s">
        <v>18</v>
      </c>
      <c r="C9" t="s">
        <v>31</v>
      </c>
      <c r="D9">
        <v>3</v>
      </c>
      <c r="E9" t="s">
        <v>37</v>
      </c>
      <c r="F9" s="2">
        <v>45931</v>
      </c>
      <c r="G9" s="3">
        <v>46478</v>
      </c>
      <c r="H9" s="20">
        <v>135.71818181818179</v>
      </c>
      <c r="I9" s="20">
        <v>195.94</v>
      </c>
      <c r="J9" s="20">
        <v>149.29</v>
      </c>
      <c r="K9" s="20">
        <v>434.43</v>
      </c>
      <c r="L9" s="23">
        <v>2.5</v>
      </c>
      <c r="M9" s="20">
        <v>10.86</v>
      </c>
      <c r="N9" s="23">
        <v>2.5</v>
      </c>
      <c r="O9" s="20">
        <v>10.86</v>
      </c>
      <c r="P9" s="20">
        <v>456.15</v>
      </c>
    </row>
    <row r="10" spans="1:16" x14ac:dyDescent="0.35">
      <c r="A10">
        <v>9</v>
      </c>
      <c r="B10" t="s">
        <v>19</v>
      </c>
      <c r="C10" t="s">
        <v>32</v>
      </c>
      <c r="D10">
        <v>5</v>
      </c>
      <c r="E10" t="s">
        <v>37</v>
      </c>
      <c r="F10" s="2">
        <v>45931</v>
      </c>
      <c r="G10" s="3">
        <v>46508</v>
      </c>
      <c r="H10" s="20">
        <v>123.37272727272727</v>
      </c>
      <c r="I10" s="20">
        <v>178.13</v>
      </c>
      <c r="J10" s="20">
        <v>135.71</v>
      </c>
      <c r="K10" s="20">
        <v>658.19</v>
      </c>
      <c r="L10" s="23">
        <v>2.5</v>
      </c>
      <c r="M10" s="20">
        <v>16.45</v>
      </c>
      <c r="N10" s="23">
        <v>2.5</v>
      </c>
      <c r="O10" s="20">
        <v>16.45</v>
      </c>
      <c r="P10" s="20">
        <v>691.09</v>
      </c>
    </row>
    <row r="11" spans="1:16" x14ac:dyDescent="0.35">
      <c r="A11">
        <v>10</v>
      </c>
      <c r="B11" t="s">
        <v>20</v>
      </c>
      <c r="C11" t="s">
        <v>33</v>
      </c>
      <c r="D11">
        <v>5</v>
      </c>
      <c r="E11" t="s">
        <v>37</v>
      </c>
      <c r="F11" s="2">
        <v>45931</v>
      </c>
      <c r="G11" s="3">
        <v>46905</v>
      </c>
      <c r="H11" s="20">
        <v>69.581818181818178</v>
      </c>
      <c r="I11" s="20">
        <v>100.46</v>
      </c>
      <c r="J11" s="20">
        <v>76.540000000000006</v>
      </c>
      <c r="K11" s="20">
        <v>334.1</v>
      </c>
      <c r="L11" s="23">
        <v>2.5</v>
      </c>
      <c r="M11" s="20">
        <v>8.35</v>
      </c>
      <c r="N11" s="23">
        <v>2.5</v>
      </c>
      <c r="O11" s="20">
        <v>8.35</v>
      </c>
      <c r="P11" s="20">
        <v>350.8</v>
      </c>
    </row>
    <row r="12" spans="1:16" x14ac:dyDescent="0.35">
      <c r="A12">
        <v>11</v>
      </c>
      <c r="B12" t="s">
        <v>21</v>
      </c>
      <c r="C12" t="s">
        <v>34</v>
      </c>
      <c r="D12">
        <v>1</v>
      </c>
      <c r="E12" t="s">
        <v>37</v>
      </c>
      <c r="F12" s="2">
        <v>45931</v>
      </c>
      <c r="G12" s="3">
        <v>46508</v>
      </c>
      <c r="H12" s="20">
        <v>218.67272727272726</v>
      </c>
      <c r="I12" s="20">
        <v>315.69</v>
      </c>
      <c r="J12" s="20">
        <v>240.54</v>
      </c>
      <c r="K12" s="20">
        <v>233.32</v>
      </c>
      <c r="L12" s="23">
        <v>2.5</v>
      </c>
      <c r="M12" s="20">
        <v>5.83</v>
      </c>
      <c r="N12" s="23">
        <v>2.5</v>
      </c>
      <c r="O12" s="20">
        <v>5.83</v>
      </c>
      <c r="P12" s="20">
        <v>244.98</v>
      </c>
    </row>
    <row r="13" spans="1:16" x14ac:dyDescent="0.35">
      <c r="A13">
        <v>12</v>
      </c>
      <c r="B13" t="s">
        <v>22</v>
      </c>
      <c r="C13" t="s">
        <v>35</v>
      </c>
      <c r="D13">
        <v>1</v>
      </c>
      <c r="E13" t="s">
        <v>37</v>
      </c>
      <c r="F13" s="2">
        <v>45931</v>
      </c>
      <c r="G13" s="3">
        <v>46569</v>
      </c>
      <c r="H13" s="20">
        <v>572.72727272727263</v>
      </c>
      <c r="I13" s="20">
        <v>787.5</v>
      </c>
      <c r="J13" s="20">
        <v>630</v>
      </c>
      <c r="K13" s="20">
        <v>630</v>
      </c>
      <c r="L13" s="23">
        <v>2.5</v>
      </c>
      <c r="M13" s="20">
        <v>15.75</v>
      </c>
      <c r="N13" s="23">
        <v>2.5</v>
      </c>
      <c r="O13" s="20">
        <v>15.75</v>
      </c>
      <c r="P13" s="20">
        <v>661.5</v>
      </c>
    </row>
    <row r="14" spans="1:16" x14ac:dyDescent="0.35">
      <c r="A14">
        <v>13</v>
      </c>
      <c r="B14" t="s">
        <v>23</v>
      </c>
      <c r="C14" t="s">
        <v>36</v>
      </c>
      <c r="D14">
        <v>10</v>
      </c>
      <c r="E14" t="s">
        <v>37</v>
      </c>
      <c r="F14" s="2">
        <v>45931</v>
      </c>
      <c r="G14" s="3">
        <v>46204</v>
      </c>
      <c r="H14" s="20">
        <v>217.5363636363636</v>
      </c>
      <c r="I14" s="20">
        <v>314.06</v>
      </c>
      <c r="J14" s="20">
        <v>239.29</v>
      </c>
      <c r="K14" s="20">
        <v>2321.11</v>
      </c>
      <c r="L14" s="23">
        <v>2.5</v>
      </c>
      <c r="M14" s="20">
        <v>58.03</v>
      </c>
      <c r="N14" s="23">
        <v>2.5</v>
      </c>
      <c r="O14" s="20">
        <v>58.03</v>
      </c>
      <c r="P14" s="20">
        <v>2437.17</v>
      </c>
    </row>
    <row r="15" spans="1:16" x14ac:dyDescent="0.35">
      <c r="A15">
        <v>14</v>
      </c>
      <c r="B15" t="s">
        <v>42</v>
      </c>
      <c r="C15" t="s">
        <v>52</v>
      </c>
      <c r="D15">
        <v>3</v>
      </c>
      <c r="E15" t="s">
        <v>37</v>
      </c>
      <c r="F15" s="2">
        <v>45931</v>
      </c>
      <c r="G15" s="3">
        <v>46478</v>
      </c>
      <c r="H15" s="20">
        <v>142.20909090909092</v>
      </c>
      <c r="I15" s="20">
        <v>205.31</v>
      </c>
      <c r="J15" s="20">
        <v>156.43</v>
      </c>
      <c r="K15" s="20">
        <v>455.21</v>
      </c>
      <c r="L15" s="23">
        <v>2.5</v>
      </c>
      <c r="M15" s="20">
        <v>11.38</v>
      </c>
      <c r="N15" s="23">
        <v>2.5</v>
      </c>
      <c r="O15" s="20">
        <v>11.38</v>
      </c>
      <c r="P15" s="20">
        <v>477.97</v>
      </c>
    </row>
    <row r="16" spans="1:16" x14ac:dyDescent="0.35">
      <c r="A16">
        <v>15</v>
      </c>
      <c r="B16" t="s">
        <v>43</v>
      </c>
      <c r="C16" t="s">
        <v>53</v>
      </c>
      <c r="D16">
        <v>3</v>
      </c>
      <c r="E16" t="s">
        <v>37</v>
      </c>
      <c r="F16" s="2">
        <v>45931</v>
      </c>
      <c r="G16" s="3">
        <v>46753</v>
      </c>
      <c r="H16" s="20">
        <v>21.981818181818181</v>
      </c>
      <c r="I16" s="20">
        <v>31.73</v>
      </c>
      <c r="J16" s="20">
        <v>24.18</v>
      </c>
      <c r="K16" s="20">
        <v>70.36</v>
      </c>
      <c r="L16" s="23">
        <v>2.5</v>
      </c>
      <c r="M16" s="20">
        <v>1.76</v>
      </c>
      <c r="N16" s="23">
        <v>2.5</v>
      </c>
      <c r="O16" s="20">
        <v>1.76</v>
      </c>
      <c r="P16" s="20">
        <v>73.88</v>
      </c>
    </row>
    <row r="17" spans="1:16" x14ac:dyDescent="0.35">
      <c r="A17">
        <v>16</v>
      </c>
      <c r="B17" t="s">
        <v>43</v>
      </c>
      <c r="C17" t="s">
        <v>54</v>
      </c>
      <c r="D17">
        <v>6</v>
      </c>
      <c r="E17" t="s">
        <v>37</v>
      </c>
      <c r="F17" s="2">
        <v>45931</v>
      </c>
      <c r="G17" s="3">
        <v>46661</v>
      </c>
      <c r="H17" s="20">
        <v>21.981818181818181</v>
      </c>
      <c r="I17" s="20">
        <v>31.73</v>
      </c>
      <c r="J17" s="20">
        <v>24.18</v>
      </c>
      <c r="K17" s="20">
        <v>140.72999999999999</v>
      </c>
      <c r="L17" s="23">
        <v>2.5</v>
      </c>
      <c r="M17" s="20">
        <v>3.52</v>
      </c>
      <c r="N17" s="23">
        <v>2.5</v>
      </c>
      <c r="O17" s="20">
        <v>3.52</v>
      </c>
      <c r="P17" s="20">
        <v>147.77000000000001</v>
      </c>
    </row>
    <row r="18" spans="1:16" x14ac:dyDescent="0.35">
      <c r="A18">
        <v>17</v>
      </c>
      <c r="B18" t="s">
        <v>44</v>
      </c>
      <c r="C18" t="s">
        <v>55</v>
      </c>
      <c r="D18">
        <v>3</v>
      </c>
      <c r="E18" t="s">
        <v>37</v>
      </c>
      <c r="F18" s="2">
        <v>45931</v>
      </c>
      <c r="G18" s="3">
        <v>46508</v>
      </c>
      <c r="H18" s="20">
        <v>172.08181818181816</v>
      </c>
      <c r="I18" s="20">
        <v>248.44</v>
      </c>
      <c r="J18" s="20">
        <v>189.29</v>
      </c>
      <c r="K18" s="20">
        <v>550.83000000000004</v>
      </c>
      <c r="L18" s="23">
        <v>2.5</v>
      </c>
      <c r="M18" s="20">
        <v>13.77</v>
      </c>
      <c r="N18" s="23">
        <v>2.5</v>
      </c>
      <c r="O18" s="20">
        <v>13.77</v>
      </c>
      <c r="P18" s="20">
        <v>578.37</v>
      </c>
    </row>
    <row r="19" spans="1:16" x14ac:dyDescent="0.35">
      <c r="A19">
        <v>18</v>
      </c>
      <c r="B19" t="s">
        <v>45</v>
      </c>
      <c r="C19" s="4">
        <v>2508000966</v>
      </c>
      <c r="D19">
        <v>10</v>
      </c>
      <c r="E19" t="s">
        <v>37</v>
      </c>
      <c r="F19" s="2">
        <v>45931</v>
      </c>
      <c r="G19" s="3">
        <v>46539</v>
      </c>
      <c r="H19" s="20">
        <v>87.190909090909088</v>
      </c>
      <c r="I19" s="20">
        <v>125.89</v>
      </c>
      <c r="J19" s="20">
        <v>95.91</v>
      </c>
      <c r="K19" s="20">
        <v>930.33</v>
      </c>
      <c r="L19" s="23">
        <v>2.5</v>
      </c>
      <c r="M19" s="20">
        <v>23.26</v>
      </c>
      <c r="N19" s="23">
        <v>2.5</v>
      </c>
      <c r="O19" s="20">
        <v>23.26</v>
      </c>
      <c r="P19" s="20">
        <v>976.85</v>
      </c>
    </row>
    <row r="20" spans="1:16" x14ac:dyDescent="0.35">
      <c r="A20">
        <v>19</v>
      </c>
      <c r="B20" t="s">
        <v>46</v>
      </c>
      <c r="C20" t="s">
        <v>56</v>
      </c>
      <c r="D20">
        <v>10</v>
      </c>
      <c r="E20" t="s">
        <v>37</v>
      </c>
      <c r="F20" s="2">
        <v>45931</v>
      </c>
      <c r="G20" s="3">
        <v>46508</v>
      </c>
      <c r="H20" s="20">
        <v>33.118181818181817</v>
      </c>
      <c r="I20" s="20">
        <v>47.81</v>
      </c>
      <c r="J20" s="20">
        <v>36.43</v>
      </c>
      <c r="K20" s="20">
        <v>353.37</v>
      </c>
      <c r="L20" s="23">
        <v>2.5</v>
      </c>
      <c r="M20" s="20">
        <v>8.83</v>
      </c>
      <c r="N20" s="23">
        <v>2.5</v>
      </c>
      <c r="O20" s="20">
        <v>8.83</v>
      </c>
      <c r="P20" s="20">
        <v>371.03</v>
      </c>
    </row>
    <row r="21" spans="1:16" x14ac:dyDescent="0.35">
      <c r="A21">
        <v>20</v>
      </c>
      <c r="B21" t="s">
        <v>47</v>
      </c>
      <c r="C21" s="4">
        <v>28026913</v>
      </c>
      <c r="D21">
        <v>10</v>
      </c>
      <c r="E21" t="s">
        <v>37</v>
      </c>
      <c r="F21" s="2">
        <v>45931</v>
      </c>
      <c r="G21" s="3">
        <v>46539</v>
      </c>
      <c r="H21" s="20">
        <v>104.13636363636363</v>
      </c>
      <c r="I21" s="20">
        <v>150.35</v>
      </c>
      <c r="J21" s="20">
        <v>114.55</v>
      </c>
      <c r="K21" s="20">
        <v>1111.1400000000001</v>
      </c>
      <c r="L21" s="23">
        <v>2.5</v>
      </c>
      <c r="M21" s="20">
        <v>27.78</v>
      </c>
      <c r="N21" s="23">
        <v>2.5</v>
      </c>
      <c r="O21" s="20">
        <v>27.78</v>
      </c>
      <c r="P21" s="20">
        <v>1166.7</v>
      </c>
    </row>
    <row r="22" spans="1:16" x14ac:dyDescent="0.35">
      <c r="A22">
        <v>21</v>
      </c>
      <c r="B22" t="s">
        <v>48</v>
      </c>
      <c r="C22" t="s">
        <v>57</v>
      </c>
      <c r="D22">
        <v>1</v>
      </c>
      <c r="E22" t="s">
        <v>37</v>
      </c>
      <c r="F22" s="2">
        <v>45931</v>
      </c>
      <c r="G22" s="3">
        <v>46508</v>
      </c>
      <c r="H22" s="20">
        <v>375.32727272727271</v>
      </c>
      <c r="I22" s="20">
        <v>541.88</v>
      </c>
      <c r="J22" s="20">
        <v>412.86</v>
      </c>
      <c r="K22" s="20">
        <v>400.47</v>
      </c>
      <c r="L22" s="23">
        <v>2.5</v>
      </c>
      <c r="M22" s="20">
        <v>10.01</v>
      </c>
      <c r="N22" s="23">
        <v>2.5</v>
      </c>
      <c r="O22" s="20">
        <v>10.01</v>
      </c>
      <c r="P22" s="20">
        <v>420.49</v>
      </c>
    </row>
    <row r="23" spans="1:16" x14ac:dyDescent="0.35">
      <c r="A23">
        <v>22</v>
      </c>
      <c r="B23" t="s">
        <v>49</v>
      </c>
      <c r="C23" s="4" t="s">
        <v>58</v>
      </c>
      <c r="D23">
        <v>5</v>
      </c>
      <c r="E23" t="s">
        <v>37</v>
      </c>
      <c r="F23" s="2">
        <v>45931</v>
      </c>
      <c r="G23" s="3">
        <v>46508</v>
      </c>
      <c r="H23" s="20">
        <v>135.71818181818179</v>
      </c>
      <c r="I23" s="20">
        <v>195.94</v>
      </c>
      <c r="J23" s="20">
        <v>149.29</v>
      </c>
      <c r="K23" s="20">
        <v>724.06</v>
      </c>
      <c r="L23" s="23">
        <v>2.5</v>
      </c>
      <c r="M23" s="20">
        <v>18.100000000000001</v>
      </c>
      <c r="N23" s="23">
        <v>2.5</v>
      </c>
      <c r="O23" s="20">
        <v>18.100000000000001</v>
      </c>
      <c r="P23" s="20">
        <v>760.26</v>
      </c>
    </row>
    <row r="24" spans="1:16" x14ac:dyDescent="0.35">
      <c r="A24">
        <v>23</v>
      </c>
      <c r="B24" t="s">
        <v>50</v>
      </c>
      <c r="C24" t="s">
        <v>59</v>
      </c>
      <c r="D24">
        <v>3</v>
      </c>
      <c r="E24" t="s">
        <v>37</v>
      </c>
      <c r="F24" s="2">
        <v>45931</v>
      </c>
      <c r="G24" s="3">
        <v>46539</v>
      </c>
      <c r="H24" s="20">
        <v>61.336363636363629</v>
      </c>
      <c r="I24" s="20">
        <v>88.55</v>
      </c>
      <c r="J24" s="20">
        <v>67.47</v>
      </c>
      <c r="K24" s="20">
        <v>196.34</v>
      </c>
      <c r="L24" s="23">
        <v>2.5</v>
      </c>
      <c r="M24" s="20">
        <v>4.91</v>
      </c>
      <c r="N24" s="23">
        <v>2.5</v>
      </c>
      <c r="O24" s="20">
        <v>4.91</v>
      </c>
      <c r="P24" s="20">
        <v>206.16</v>
      </c>
    </row>
    <row r="25" spans="1:16" x14ac:dyDescent="0.35">
      <c r="A25">
        <v>24</v>
      </c>
      <c r="B25" t="s">
        <v>51</v>
      </c>
      <c r="C25" s="4" t="s">
        <v>60</v>
      </c>
      <c r="D25">
        <v>3</v>
      </c>
      <c r="E25" t="s">
        <v>37</v>
      </c>
      <c r="F25" s="2">
        <v>45931</v>
      </c>
      <c r="G25" s="3">
        <v>46478</v>
      </c>
      <c r="H25" s="20">
        <v>340.90909090909088</v>
      </c>
      <c r="I25" s="20">
        <v>492.19</v>
      </c>
      <c r="J25" s="20">
        <v>375</v>
      </c>
      <c r="K25" s="20">
        <v>1091.25</v>
      </c>
      <c r="L25" s="23">
        <v>2.5</v>
      </c>
      <c r="M25" s="20">
        <v>27.28</v>
      </c>
      <c r="N25" s="23">
        <v>2.5</v>
      </c>
      <c r="O25" s="20">
        <v>27.28</v>
      </c>
      <c r="P25" s="20">
        <v>1145.81</v>
      </c>
    </row>
    <row r="26" spans="1:16" x14ac:dyDescent="0.35">
      <c r="A26">
        <v>25</v>
      </c>
      <c r="B26" t="s">
        <v>14</v>
      </c>
      <c r="C26" s="4" t="s">
        <v>67</v>
      </c>
      <c r="D26">
        <v>2</v>
      </c>
      <c r="E26" t="s">
        <v>37</v>
      </c>
      <c r="F26" s="2">
        <v>45932</v>
      </c>
      <c r="G26" s="3">
        <v>46388</v>
      </c>
      <c r="H26" s="20">
        <v>194.15454545454543</v>
      </c>
      <c r="I26" s="20">
        <v>280.31</v>
      </c>
      <c r="J26" s="20">
        <v>213.57</v>
      </c>
      <c r="K26" s="20">
        <v>414.33</v>
      </c>
      <c r="L26" s="23">
        <v>2.5</v>
      </c>
      <c r="M26" s="20">
        <v>10.36</v>
      </c>
      <c r="N26" s="23">
        <v>2.5</v>
      </c>
      <c r="O26" s="20">
        <v>10.36</v>
      </c>
      <c r="P26" s="20">
        <v>435.05</v>
      </c>
    </row>
    <row r="27" spans="1:16" x14ac:dyDescent="0.35">
      <c r="A27">
        <v>26</v>
      </c>
      <c r="B27" t="s">
        <v>61</v>
      </c>
      <c r="C27" t="s">
        <v>68</v>
      </c>
      <c r="D27">
        <v>2</v>
      </c>
      <c r="E27" t="s">
        <v>37</v>
      </c>
      <c r="F27" s="2">
        <v>45932</v>
      </c>
      <c r="G27" s="3">
        <v>46508</v>
      </c>
      <c r="H27" s="20">
        <v>241.59999999999997</v>
      </c>
      <c r="I27" s="20">
        <v>392</v>
      </c>
      <c r="J27" s="20">
        <v>265.76</v>
      </c>
      <c r="K27" s="20">
        <v>515.57000000000005</v>
      </c>
      <c r="L27" s="23">
        <v>9</v>
      </c>
      <c r="M27" s="20">
        <v>46.4</v>
      </c>
      <c r="N27" s="23">
        <v>9</v>
      </c>
      <c r="O27" s="20">
        <v>46.4</v>
      </c>
      <c r="P27" s="20">
        <v>608.37</v>
      </c>
    </row>
    <row r="28" spans="1:16" x14ac:dyDescent="0.35">
      <c r="A28">
        <v>27</v>
      </c>
      <c r="B28" t="s">
        <v>16</v>
      </c>
      <c r="C28" t="s">
        <v>1035</v>
      </c>
      <c r="D28">
        <v>2</v>
      </c>
      <c r="E28" t="s">
        <v>37</v>
      </c>
      <c r="F28" s="2">
        <v>45932</v>
      </c>
      <c r="G28" s="3">
        <v>46631</v>
      </c>
      <c r="H28" s="20">
        <v>169.49090909090907</v>
      </c>
      <c r="I28" s="20">
        <v>244.7</v>
      </c>
      <c r="J28" s="20">
        <v>186.44</v>
      </c>
      <c r="K28" s="20">
        <v>361.69</v>
      </c>
      <c r="L28" s="23">
        <v>2.5</v>
      </c>
      <c r="M28" s="20">
        <v>9.0399999999999991</v>
      </c>
      <c r="N28" s="23">
        <v>2.5</v>
      </c>
      <c r="O28" s="20">
        <v>9.0399999999999991</v>
      </c>
      <c r="P28" s="20">
        <v>379.77</v>
      </c>
    </row>
    <row r="29" spans="1:16" x14ac:dyDescent="0.35">
      <c r="A29">
        <v>28</v>
      </c>
      <c r="B29" t="s">
        <v>62</v>
      </c>
      <c r="C29" t="s">
        <v>70</v>
      </c>
      <c r="D29">
        <v>1</v>
      </c>
      <c r="E29" t="s">
        <v>37</v>
      </c>
      <c r="F29" s="2">
        <v>45932</v>
      </c>
      <c r="G29" s="3">
        <v>46419</v>
      </c>
      <c r="H29" s="20">
        <v>633.58181818181822</v>
      </c>
      <c r="I29" s="20">
        <v>914.73</v>
      </c>
      <c r="J29" s="20">
        <v>696.94</v>
      </c>
      <c r="K29" s="20">
        <v>676.03</v>
      </c>
      <c r="L29" s="23">
        <v>2.5</v>
      </c>
      <c r="M29" s="20">
        <v>16.899999999999999</v>
      </c>
      <c r="N29" s="23">
        <v>2.5</v>
      </c>
      <c r="O29" s="20">
        <v>16.899999999999999</v>
      </c>
      <c r="P29" s="20">
        <v>709.83</v>
      </c>
    </row>
    <row r="30" spans="1:16" x14ac:dyDescent="0.35">
      <c r="A30">
        <v>29</v>
      </c>
      <c r="B30" t="s">
        <v>63</v>
      </c>
      <c r="C30" s="4" t="s">
        <v>71</v>
      </c>
      <c r="D30">
        <v>1</v>
      </c>
      <c r="E30" t="s">
        <v>37</v>
      </c>
      <c r="F30" s="2">
        <v>45932</v>
      </c>
      <c r="G30" s="3">
        <v>47515</v>
      </c>
      <c r="H30" s="20">
        <v>120.29090909090907</v>
      </c>
      <c r="I30" s="20">
        <v>173.52</v>
      </c>
      <c r="J30" s="20">
        <v>132.32</v>
      </c>
      <c r="K30" s="20">
        <v>128.24</v>
      </c>
      <c r="L30" s="23">
        <v>2.5</v>
      </c>
      <c r="M30" s="20">
        <v>3.21</v>
      </c>
      <c r="N30" s="23">
        <v>2.5</v>
      </c>
      <c r="O30" s="20">
        <v>3.21</v>
      </c>
      <c r="P30" s="20">
        <v>134.66</v>
      </c>
    </row>
    <row r="31" spans="1:16" x14ac:dyDescent="0.35">
      <c r="A31">
        <v>30</v>
      </c>
      <c r="B31" t="s">
        <v>64</v>
      </c>
      <c r="C31" t="s">
        <v>72</v>
      </c>
      <c r="D31">
        <v>3</v>
      </c>
      <c r="E31" t="s">
        <v>37</v>
      </c>
      <c r="F31" s="2">
        <v>45932</v>
      </c>
      <c r="G31" s="3">
        <v>46905</v>
      </c>
      <c r="H31" s="20">
        <v>135.59090909090909</v>
      </c>
      <c r="I31" s="20">
        <v>195.76</v>
      </c>
      <c r="J31" s="20">
        <v>149.15</v>
      </c>
      <c r="K31" s="20">
        <v>434.03</v>
      </c>
      <c r="L31" s="23">
        <v>2.5</v>
      </c>
      <c r="M31" s="20">
        <v>10.85</v>
      </c>
      <c r="N31" s="23">
        <v>2.5</v>
      </c>
      <c r="O31" s="20">
        <v>10.85</v>
      </c>
      <c r="P31" s="20">
        <v>455.73</v>
      </c>
    </row>
    <row r="32" spans="1:16" x14ac:dyDescent="0.35">
      <c r="A32">
        <v>31</v>
      </c>
      <c r="B32" t="s">
        <v>65</v>
      </c>
      <c r="C32" s="4" t="s">
        <v>73</v>
      </c>
      <c r="D32">
        <v>2</v>
      </c>
      <c r="E32" t="s">
        <v>37</v>
      </c>
      <c r="F32" s="2">
        <v>45932</v>
      </c>
      <c r="G32" s="3">
        <v>46905</v>
      </c>
      <c r="H32" s="20">
        <v>154.08181818181816</v>
      </c>
      <c r="I32" s="20">
        <v>222.46</v>
      </c>
      <c r="J32" s="20">
        <v>169.49</v>
      </c>
      <c r="K32" s="20">
        <v>328.81</v>
      </c>
      <c r="L32" s="23">
        <v>2.5</v>
      </c>
      <c r="M32" s="20">
        <v>8.2200000000000006</v>
      </c>
      <c r="N32" s="23">
        <v>2.5</v>
      </c>
      <c r="O32" s="20">
        <v>8.2200000000000006</v>
      </c>
      <c r="P32" s="20">
        <v>345.25</v>
      </c>
    </row>
    <row r="33" spans="1:16" x14ac:dyDescent="0.35">
      <c r="A33">
        <v>32</v>
      </c>
      <c r="B33" t="s">
        <v>66</v>
      </c>
      <c r="C33" s="4" t="s">
        <v>74</v>
      </c>
      <c r="D33">
        <v>1</v>
      </c>
      <c r="E33" t="s">
        <v>37</v>
      </c>
      <c r="F33" s="2">
        <v>45932</v>
      </c>
      <c r="G33" s="3">
        <v>46266</v>
      </c>
      <c r="H33" s="20">
        <v>183.46363636363634</v>
      </c>
      <c r="I33" s="20">
        <v>264.87</v>
      </c>
      <c r="J33" s="20">
        <v>201.81</v>
      </c>
      <c r="K33" s="20">
        <v>195.76</v>
      </c>
      <c r="L33" s="23">
        <v>2.5</v>
      </c>
      <c r="M33" s="20">
        <v>4.8899999999999997</v>
      </c>
      <c r="N33" s="23">
        <v>2.5</v>
      </c>
      <c r="O33" s="20">
        <v>4.8899999999999997</v>
      </c>
      <c r="P33" s="20">
        <v>205.54</v>
      </c>
    </row>
    <row r="34" spans="1:16" x14ac:dyDescent="0.35">
      <c r="A34">
        <v>33</v>
      </c>
      <c r="B34" t="s">
        <v>75</v>
      </c>
      <c r="C34" s="4" t="s">
        <v>85</v>
      </c>
      <c r="D34">
        <v>5</v>
      </c>
      <c r="E34" t="s">
        <v>95</v>
      </c>
      <c r="F34" s="2">
        <v>45932</v>
      </c>
      <c r="G34" s="3">
        <v>46569</v>
      </c>
      <c r="H34" s="20">
        <v>344.5272727272727</v>
      </c>
      <c r="I34" s="20">
        <v>559</v>
      </c>
      <c r="J34" s="20">
        <v>378.98</v>
      </c>
      <c r="K34" s="20">
        <v>1838.05</v>
      </c>
      <c r="L34" s="23">
        <v>9</v>
      </c>
      <c r="M34" s="20">
        <v>165.42</v>
      </c>
      <c r="N34" s="23">
        <v>9</v>
      </c>
      <c r="O34" s="20">
        <v>165.42</v>
      </c>
      <c r="P34" s="20">
        <v>2168.89</v>
      </c>
    </row>
    <row r="35" spans="1:16" x14ac:dyDescent="0.35">
      <c r="A35">
        <v>34</v>
      </c>
      <c r="B35" t="s">
        <v>75</v>
      </c>
      <c r="C35" s="4" t="s">
        <v>85</v>
      </c>
      <c r="D35">
        <v>5</v>
      </c>
      <c r="E35" t="s">
        <v>95</v>
      </c>
      <c r="F35" s="2">
        <v>45932</v>
      </c>
      <c r="G35" s="3">
        <v>46569</v>
      </c>
      <c r="H35" s="20">
        <v>344.5272727272727</v>
      </c>
      <c r="I35" s="20">
        <v>559</v>
      </c>
      <c r="J35" s="20">
        <v>378.98</v>
      </c>
      <c r="K35" s="20">
        <v>1838.05</v>
      </c>
      <c r="L35" s="23">
        <v>9</v>
      </c>
      <c r="M35" s="20">
        <v>165.42</v>
      </c>
      <c r="N35" s="23">
        <v>9</v>
      </c>
      <c r="O35" s="20">
        <v>165.42</v>
      </c>
      <c r="P35" s="20">
        <v>2168.89</v>
      </c>
    </row>
    <row r="36" spans="1:16" x14ac:dyDescent="0.35">
      <c r="A36">
        <v>35</v>
      </c>
      <c r="B36" t="s">
        <v>76</v>
      </c>
      <c r="C36" s="4" t="s">
        <v>86</v>
      </c>
      <c r="D36">
        <v>2</v>
      </c>
      <c r="E36" t="s">
        <v>95</v>
      </c>
      <c r="F36" s="2">
        <v>45932</v>
      </c>
      <c r="G36" s="3">
        <v>46419</v>
      </c>
      <c r="H36" s="20">
        <v>345.76363636363629</v>
      </c>
      <c r="I36" s="20">
        <v>561</v>
      </c>
      <c r="J36" s="20">
        <v>380.34</v>
      </c>
      <c r="K36" s="20">
        <v>737.56</v>
      </c>
      <c r="L36" s="23">
        <v>9</v>
      </c>
      <c r="M36" s="20">
        <v>66.41</v>
      </c>
      <c r="N36" s="23">
        <v>9</v>
      </c>
      <c r="O36" s="20">
        <v>66.41</v>
      </c>
      <c r="P36" s="20">
        <v>870.68</v>
      </c>
    </row>
    <row r="37" spans="1:16" x14ac:dyDescent="0.35">
      <c r="A37">
        <v>36</v>
      </c>
      <c r="B37" t="s">
        <v>77</v>
      </c>
      <c r="C37" s="4" t="s">
        <v>87</v>
      </c>
      <c r="D37">
        <v>2</v>
      </c>
      <c r="E37" t="s">
        <v>95</v>
      </c>
      <c r="F37" s="2">
        <v>45932</v>
      </c>
      <c r="G37" s="3">
        <v>46661</v>
      </c>
      <c r="H37" s="20">
        <v>212.85454545454542</v>
      </c>
      <c r="I37" s="20">
        <v>307.31</v>
      </c>
      <c r="J37" s="20">
        <v>234.14</v>
      </c>
      <c r="K37" s="20">
        <v>454.23</v>
      </c>
      <c r="L37" s="23">
        <v>2.5</v>
      </c>
      <c r="M37" s="20">
        <v>11.36</v>
      </c>
      <c r="N37" s="23">
        <v>2.5</v>
      </c>
      <c r="O37" s="20">
        <v>11.36</v>
      </c>
      <c r="P37" s="20">
        <v>476.95</v>
      </c>
    </row>
    <row r="38" spans="1:16" x14ac:dyDescent="0.35">
      <c r="A38">
        <v>37</v>
      </c>
      <c r="B38" t="s">
        <v>78</v>
      </c>
      <c r="C38" s="4" t="s">
        <v>88</v>
      </c>
      <c r="D38">
        <v>4</v>
      </c>
      <c r="E38" t="s">
        <v>95</v>
      </c>
      <c r="F38" s="2">
        <v>45932</v>
      </c>
      <c r="G38" s="3">
        <v>46478</v>
      </c>
      <c r="H38" s="20">
        <v>198.29090909090908</v>
      </c>
      <c r="I38" s="20">
        <v>286.27999999999997</v>
      </c>
      <c r="J38" s="20">
        <v>218.12</v>
      </c>
      <c r="K38" s="20">
        <v>846.31</v>
      </c>
      <c r="L38" s="23">
        <v>2.5</v>
      </c>
      <c r="M38" s="20">
        <v>21.16</v>
      </c>
      <c r="N38" s="23">
        <v>2.5</v>
      </c>
      <c r="O38" s="20">
        <v>21.16</v>
      </c>
      <c r="P38" s="20">
        <v>888.63</v>
      </c>
    </row>
    <row r="39" spans="1:16" x14ac:dyDescent="0.35">
      <c r="A39">
        <v>38</v>
      </c>
      <c r="B39" t="s">
        <v>79</v>
      </c>
      <c r="C39" s="4" t="s">
        <v>89</v>
      </c>
      <c r="D39">
        <v>2</v>
      </c>
      <c r="E39" t="s">
        <v>95</v>
      </c>
      <c r="F39" s="2">
        <v>45932</v>
      </c>
      <c r="G39" s="3">
        <v>46508</v>
      </c>
      <c r="H39" s="20">
        <v>126.91818181818182</v>
      </c>
      <c r="I39" s="20">
        <v>183.23</v>
      </c>
      <c r="J39" s="20">
        <v>139.61000000000001</v>
      </c>
      <c r="K39" s="20">
        <v>270.83999999999997</v>
      </c>
      <c r="L39" s="23">
        <v>2.5</v>
      </c>
      <c r="M39" s="20">
        <v>6.77</v>
      </c>
      <c r="N39" s="23">
        <v>2.5</v>
      </c>
      <c r="O39" s="20">
        <v>6.77</v>
      </c>
      <c r="P39" s="20">
        <v>284.38</v>
      </c>
    </row>
    <row r="40" spans="1:16" x14ac:dyDescent="0.35">
      <c r="A40">
        <v>39</v>
      </c>
      <c r="B40" t="s">
        <v>80</v>
      </c>
      <c r="C40" s="4" t="s">
        <v>90</v>
      </c>
      <c r="D40">
        <v>1</v>
      </c>
      <c r="E40" t="s">
        <v>95</v>
      </c>
      <c r="F40" s="2">
        <v>45932</v>
      </c>
      <c r="G40" s="3">
        <v>46478</v>
      </c>
      <c r="H40" s="20">
        <v>135.58181818181816</v>
      </c>
      <c r="I40" s="20">
        <v>195.75</v>
      </c>
      <c r="J40" s="20">
        <v>149.13999999999999</v>
      </c>
      <c r="K40" s="20">
        <v>144.66999999999999</v>
      </c>
      <c r="L40" s="23">
        <v>2.5</v>
      </c>
      <c r="M40" s="20">
        <v>3.62</v>
      </c>
      <c r="N40" s="23">
        <v>2.5</v>
      </c>
      <c r="O40" s="20">
        <v>3.62</v>
      </c>
      <c r="P40" s="20">
        <v>151.91</v>
      </c>
    </row>
    <row r="41" spans="1:16" x14ac:dyDescent="0.35">
      <c r="A41">
        <v>40</v>
      </c>
      <c r="B41" t="s">
        <v>774</v>
      </c>
      <c r="C41" t="s">
        <v>1034</v>
      </c>
      <c r="D41">
        <v>1</v>
      </c>
      <c r="E41" t="s">
        <v>95</v>
      </c>
      <c r="F41" s="2">
        <v>45932</v>
      </c>
      <c r="G41" s="3">
        <v>46388</v>
      </c>
      <c r="H41" s="20">
        <v>600.92727272727268</v>
      </c>
      <c r="I41" s="20">
        <v>975</v>
      </c>
      <c r="J41" s="20">
        <v>661.02</v>
      </c>
      <c r="K41" s="20">
        <v>641.19000000000005</v>
      </c>
      <c r="L41" s="23">
        <v>9</v>
      </c>
      <c r="M41" s="20">
        <v>57.71</v>
      </c>
      <c r="N41" s="23">
        <v>9</v>
      </c>
      <c r="O41" s="20">
        <v>57.71</v>
      </c>
      <c r="P41" s="20">
        <v>756.61</v>
      </c>
    </row>
    <row r="42" spans="1:16" x14ac:dyDescent="0.35">
      <c r="A42">
        <v>41</v>
      </c>
      <c r="B42" t="s">
        <v>81</v>
      </c>
      <c r="C42" s="4" t="s">
        <v>91</v>
      </c>
      <c r="D42">
        <v>3</v>
      </c>
      <c r="E42" t="s">
        <v>95</v>
      </c>
      <c r="F42" s="2">
        <v>45932</v>
      </c>
      <c r="G42" s="3">
        <v>46419</v>
      </c>
      <c r="H42" s="20">
        <v>275.97272727272724</v>
      </c>
      <c r="I42" s="20">
        <v>398.44</v>
      </c>
      <c r="J42" s="20">
        <v>303.57</v>
      </c>
      <c r="K42" s="20">
        <v>883.39</v>
      </c>
      <c r="L42" s="23">
        <v>2.5</v>
      </c>
      <c r="M42" s="20">
        <v>22.08</v>
      </c>
      <c r="N42" s="23">
        <v>2.5</v>
      </c>
      <c r="O42" s="20">
        <v>22.08</v>
      </c>
      <c r="P42" s="20">
        <v>927.55</v>
      </c>
    </row>
    <row r="43" spans="1:16" x14ac:dyDescent="0.35">
      <c r="A43">
        <v>42</v>
      </c>
      <c r="B43" t="s">
        <v>82</v>
      </c>
      <c r="C43" s="4" t="s">
        <v>92</v>
      </c>
      <c r="D43">
        <v>1</v>
      </c>
      <c r="E43" t="s">
        <v>95</v>
      </c>
      <c r="F43" s="2">
        <v>45932</v>
      </c>
      <c r="G43" s="3">
        <v>46447</v>
      </c>
      <c r="H43" s="20">
        <v>511.55454545454546</v>
      </c>
      <c r="I43" s="20">
        <v>830</v>
      </c>
      <c r="J43" s="20">
        <v>562.71</v>
      </c>
      <c r="K43" s="20">
        <v>545.83000000000004</v>
      </c>
      <c r="L43" s="23">
        <v>9</v>
      </c>
      <c r="M43" s="20">
        <v>49.12</v>
      </c>
      <c r="N43" s="23">
        <v>9</v>
      </c>
      <c r="O43" s="20">
        <v>49.12</v>
      </c>
      <c r="P43" s="20">
        <v>644.07000000000005</v>
      </c>
    </row>
    <row r="44" spans="1:16" x14ac:dyDescent="0.35">
      <c r="A44">
        <v>43</v>
      </c>
      <c r="B44" t="s">
        <v>83</v>
      </c>
      <c r="C44" s="4" t="s">
        <v>93</v>
      </c>
      <c r="D44">
        <v>1</v>
      </c>
      <c r="E44" t="s">
        <v>95</v>
      </c>
      <c r="F44" s="2">
        <v>45932</v>
      </c>
      <c r="G44" s="3">
        <v>46296</v>
      </c>
      <c r="H44" s="20">
        <v>121.32727272727273</v>
      </c>
      <c r="I44" s="20">
        <v>175.17</v>
      </c>
      <c r="J44" s="20">
        <v>133.46</v>
      </c>
      <c r="K44" s="20">
        <v>129.46</v>
      </c>
      <c r="L44" s="23">
        <v>2.5</v>
      </c>
      <c r="M44" s="20">
        <v>3.24</v>
      </c>
      <c r="N44" s="23">
        <v>2.5</v>
      </c>
      <c r="O44" s="20">
        <v>3.24</v>
      </c>
      <c r="P44" s="20">
        <v>135.94</v>
      </c>
    </row>
    <row r="45" spans="1:16" x14ac:dyDescent="0.35">
      <c r="A45">
        <v>44</v>
      </c>
      <c r="B45" t="s">
        <v>84</v>
      </c>
      <c r="C45" s="4" t="s">
        <v>94</v>
      </c>
      <c r="D45">
        <v>2</v>
      </c>
      <c r="E45" t="s">
        <v>95</v>
      </c>
      <c r="F45" s="2">
        <v>45932</v>
      </c>
      <c r="G45" s="3">
        <v>46874</v>
      </c>
      <c r="H45" s="20">
        <v>418.83636363636361</v>
      </c>
      <c r="I45" s="20">
        <v>604.69000000000005</v>
      </c>
      <c r="J45" s="20">
        <v>460.72</v>
      </c>
      <c r="K45" s="20">
        <v>893.8</v>
      </c>
      <c r="L45" s="23">
        <v>2.5</v>
      </c>
      <c r="M45" s="20">
        <v>22.35</v>
      </c>
      <c r="N45" s="23">
        <v>2.5</v>
      </c>
      <c r="O45" s="20">
        <v>22.35</v>
      </c>
      <c r="P45" s="20">
        <v>938.5</v>
      </c>
    </row>
    <row r="46" spans="1:16" x14ac:dyDescent="0.35">
      <c r="A46">
        <v>45</v>
      </c>
      <c r="B46" t="s">
        <v>96</v>
      </c>
      <c r="C46" t="s">
        <v>115</v>
      </c>
      <c r="D46">
        <v>1</v>
      </c>
      <c r="E46" t="s">
        <v>95</v>
      </c>
      <c r="F46" s="2">
        <v>45932</v>
      </c>
      <c r="G46" s="3">
        <v>46508</v>
      </c>
      <c r="H46" s="20">
        <v>563.94545454545448</v>
      </c>
      <c r="I46" s="20">
        <v>814.19</v>
      </c>
      <c r="J46" s="20">
        <v>620.34</v>
      </c>
      <c r="K46" s="20">
        <v>601.73</v>
      </c>
      <c r="L46" s="23">
        <v>9</v>
      </c>
      <c r="M46" s="20">
        <v>54.16</v>
      </c>
      <c r="N46" s="23">
        <v>9</v>
      </c>
      <c r="O46" s="20">
        <v>54.16</v>
      </c>
      <c r="P46" s="20">
        <v>710.05</v>
      </c>
    </row>
    <row r="47" spans="1:16" x14ac:dyDescent="0.35">
      <c r="A47">
        <v>46</v>
      </c>
      <c r="B47" t="s">
        <v>97</v>
      </c>
      <c r="C47" s="4" t="s">
        <v>106</v>
      </c>
      <c r="D47">
        <v>2</v>
      </c>
      <c r="E47" t="s">
        <v>95</v>
      </c>
      <c r="F47" s="2">
        <v>45932</v>
      </c>
      <c r="G47" s="3">
        <v>46569</v>
      </c>
      <c r="H47" s="20">
        <v>159.62727272727273</v>
      </c>
      <c r="I47" s="20">
        <v>230.47</v>
      </c>
      <c r="J47" s="20">
        <v>175.59</v>
      </c>
      <c r="K47" s="20">
        <v>340.64</v>
      </c>
      <c r="L47" s="23">
        <v>2.5</v>
      </c>
      <c r="M47" s="20">
        <v>8.52</v>
      </c>
      <c r="N47" s="23">
        <v>2.5</v>
      </c>
      <c r="O47" s="20">
        <v>8.52</v>
      </c>
      <c r="P47" s="20">
        <v>357.68</v>
      </c>
    </row>
    <row r="48" spans="1:16" x14ac:dyDescent="0.35">
      <c r="A48">
        <v>47</v>
      </c>
      <c r="B48" t="s">
        <v>98</v>
      </c>
      <c r="C48" s="4" t="s">
        <v>107</v>
      </c>
      <c r="D48">
        <v>3</v>
      </c>
      <c r="E48" t="s">
        <v>95</v>
      </c>
      <c r="F48" s="2">
        <v>45932</v>
      </c>
      <c r="G48" s="3">
        <v>46388</v>
      </c>
      <c r="H48" s="20">
        <v>220.13636363636363</v>
      </c>
      <c r="I48" s="20">
        <v>317.81</v>
      </c>
      <c r="J48" s="20">
        <v>242.15</v>
      </c>
      <c r="K48" s="20">
        <v>704.66</v>
      </c>
      <c r="L48" s="23">
        <v>2.5</v>
      </c>
      <c r="M48" s="20">
        <v>17.62</v>
      </c>
      <c r="N48" s="23">
        <v>2.5</v>
      </c>
      <c r="O48" s="20">
        <v>17.62</v>
      </c>
      <c r="P48" s="20">
        <v>739.9</v>
      </c>
    </row>
    <row r="49" spans="1:16" x14ac:dyDescent="0.35">
      <c r="A49">
        <v>48</v>
      </c>
      <c r="B49" t="s">
        <v>99</v>
      </c>
      <c r="C49" s="4" t="s">
        <v>108</v>
      </c>
      <c r="D49">
        <v>4</v>
      </c>
      <c r="E49" t="s">
        <v>95</v>
      </c>
      <c r="F49" s="2">
        <v>45932</v>
      </c>
      <c r="G49" s="3">
        <v>46905</v>
      </c>
      <c r="H49" s="20">
        <v>91.554545454545448</v>
      </c>
      <c r="I49" s="20">
        <v>132.18</v>
      </c>
      <c r="J49" s="20">
        <v>100.71</v>
      </c>
      <c r="K49" s="20">
        <v>488.44</v>
      </c>
      <c r="L49" s="23">
        <v>2.5</v>
      </c>
      <c r="M49" s="20">
        <v>12.21</v>
      </c>
      <c r="N49" s="23">
        <v>2.5</v>
      </c>
      <c r="O49" s="20">
        <v>12.21</v>
      </c>
      <c r="P49" s="20">
        <v>512.86</v>
      </c>
    </row>
    <row r="50" spans="1:16" x14ac:dyDescent="0.35">
      <c r="A50">
        <v>49</v>
      </c>
      <c r="B50" t="s">
        <v>100</v>
      </c>
      <c r="C50" s="4" t="s">
        <v>109</v>
      </c>
      <c r="D50">
        <v>5</v>
      </c>
      <c r="E50" t="s">
        <v>95</v>
      </c>
      <c r="F50" s="2">
        <v>45932</v>
      </c>
      <c r="G50" s="3">
        <v>46419</v>
      </c>
      <c r="H50" s="20">
        <v>70.618181818181824</v>
      </c>
      <c r="I50" s="20">
        <v>101.95</v>
      </c>
      <c r="J50" s="20">
        <v>77.680000000000007</v>
      </c>
      <c r="K50" s="20">
        <v>226.05</v>
      </c>
      <c r="L50" s="23">
        <v>2.5</v>
      </c>
      <c r="M50" s="20">
        <v>5.65</v>
      </c>
      <c r="N50" s="23">
        <v>2.5</v>
      </c>
      <c r="O50" s="20">
        <v>5.65</v>
      </c>
      <c r="P50" s="20">
        <v>237.35</v>
      </c>
    </row>
    <row r="51" spans="1:16" x14ac:dyDescent="0.35">
      <c r="A51">
        <v>50</v>
      </c>
      <c r="B51" t="s">
        <v>101</v>
      </c>
      <c r="C51" s="4" t="s">
        <v>110</v>
      </c>
      <c r="D51">
        <v>3</v>
      </c>
      <c r="E51" t="s">
        <v>95</v>
      </c>
      <c r="F51" s="2">
        <v>45932</v>
      </c>
      <c r="G51" s="3">
        <v>46539</v>
      </c>
      <c r="H51" s="20">
        <v>462.85454545454542</v>
      </c>
      <c r="I51" s="20">
        <v>668.25</v>
      </c>
      <c r="J51" s="20">
        <v>509.14</v>
      </c>
      <c r="K51" s="20">
        <v>1481.6</v>
      </c>
      <c r="L51" s="23">
        <v>2.5</v>
      </c>
      <c r="M51" s="20">
        <v>37.04</v>
      </c>
      <c r="N51" s="23">
        <v>2.5</v>
      </c>
      <c r="O51" s="20">
        <v>37.04</v>
      </c>
      <c r="P51" s="20">
        <v>1555.68</v>
      </c>
    </row>
    <row r="52" spans="1:16" x14ac:dyDescent="0.35">
      <c r="A52">
        <v>51</v>
      </c>
      <c r="B52" t="s">
        <v>102</v>
      </c>
      <c r="C52" s="4" t="s">
        <v>111</v>
      </c>
      <c r="D52">
        <v>20</v>
      </c>
      <c r="E52" t="s">
        <v>95</v>
      </c>
      <c r="F52" s="2">
        <v>45932</v>
      </c>
      <c r="G52" s="3">
        <v>46508</v>
      </c>
      <c r="H52" s="20">
        <v>15.390909090909089</v>
      </c>
      <c r="I52" s="20">
        <v>22.22</v>
      </c>
      <c r="J52" s="20">
        <v>16.93</v>
      </c>
      <c r="K52" s="20">
        <v>328.44</v>
      </c>
      <c r="L52" s="23">
        <v>2.5</v>
      </c>
      <c r="M52" s="20">
        <v>8.2100000000000009</v>
      </c>
      <c r="N52" s="23">
        <v>2.5</v>
      </c>
      <c r="O52" s="20">
        <v>8.2100000000000009</v>
      </c>
      <c r="P52" s="20">
        <v>344.86</v>
      </c>
    </row>
    <row r="53" spans="1:16" x14ac:dyDescent="0.35">
      <c r="A53">
        <v>52</v>
      </c>
      <c r="B53" t="s">
        <v>103</v>
      </c>
      <c r="C53" s="4" t="s">
        <v>112</v>
      </c>
      <c r="D53">
        <v>2</v>
      </c>
      <c r="E53" t="s">
        <v>95</v>
      </c>
      <c r="F53" s="2">
        <v>45932</v>
      </c>
      <c r="G53" s="3">
        <v>46327</v>
      </c>
      <c r="H53" s="20">
        <v>70.845454545454544</v>
      </c>
      <c r="I53" s="20">
        <v>102.28</v>
      </c>
      <c r="J53" s="20">
        <v>77.930000000000007</v>
      </c>
      <c r="K53" s="20">
        <v>151.18</v>
      </c>
      <c r="L53" s="23">
        <v>2.5</v>
      </c>
      <c r="M53" s="20">
        <v>3.78</v>
      </c>
      <c r="N53" s="23">
        <v>2.5</v>
      </c>
      <c r="O53" s="20">
        <v>3.78</v>
      </c>
      <c r="P53" s="20">
        <v>158.74</v>
      </c>
    </row>
    <row r="54" spans="1:16" x14ac:dyDescent="0.35">
      <c r="A54">
        <v>53</v>
      </c>
      <c r="B54" t="s">
        <v>104</v>
      </c>
      <c r="C54" s="4" t="s">
        <v>113</v>
      </c>
      <c r="D54">
        <v>2</v>
      </c>
      <c r="E54" t="s">
        <v>95</v>
      </c>
      <c r="F54" s="2">
        <v>45932</v>
      </c>
      <c r="G54" s="3">
        <v>46844</v>
      </c>
      <c r="H54" s="20">
        <v>55.154545454545449</v>
      </c>
      <c r="I54" s="20">
        <v>79.63</v>
      </c>
      <c r="J54" s="20">
        <v>60.67</v>
      </c>
      <c r="K54" s="20">
        <v>117.7</v>
      </c>
      <c r="L54" s="23">
        <v>2.5</v>
      </c>
      <c r="M54" s="20">
        <v>2.94</v>
      </c>
      <c r="N54" s="23">
        <v>2.5</v>
      </c>
      <c r="O54" s="20">
        <v>2.94</v>
      </c>
      <c r="P54" s="20">
        <v>123.58</v>
      </c>
    </row>
    <row r="55" spans="1:16" x14ac:dyDescent="0.35">
      <c r="A55">
        <v>54</v>
      </c>
      <c r="B55" t="s">
        <v>105</v>
      </c>
      <c r="C55" s="4" t="s">
        <v>114</v>
      </c>
      <c r="D55">
        <v>1</v>
      </c>
      <c r="E55" t="s">
        <v>95</v>
      </c>
      <c r="F55" s="2">
        <v>45932</v>
      </c>
      <c r="G55" s="3">
        <v>46419</v>
      </c>
      <c r="H55" s="20">
        <v>126.54545454545452</v>
      </c>
      <c r="I55" s="20">
        <v>174</v>
      </c>
      <c r="J55" s="20">
        <v>139.19999999999999</v>
      </c>
      <c r="K55" s="20">
        <v>136.41999999999999</v>
      </c>
      <c r="L55" s="23">
        <v>2.5</v>
      </c>
      <c r="M55" s="20">
        <v>3.41</v>
      </c>
      <c r="N55" s="23">
        <v>2.5</v>
      </c>
      <c r="O55" s="20">
        <v>3.41</v>
      </c>
      <c r="P55" s="20">
        <v>143.24</v>
      </c>
    </row>
    <row r="56" spans="1:16" x14ac:dyDescent="0.35">
      <c r="A56">
        <v>55</v>
      </c>
      <c r="B56" t="s">
        <v>118</v>
      </c>
      <c r="C56" s="4" t="s">
        <v>124</v>
      </c>
      <c r="D56">
        <v>1</v>
      </c>
      <c r="E56" t="s">
        <v>131</v>
      </c>
      <c r="F56" s="2">
        <v>45932</v>
      </c>
      <c r="G56" s="3">
        <v>46753</v>
      </c>
      <c r="H56" s="20">
        <v>178.28181818181818</v>
      </c>
      <c r="I56" s="20">
        <v>260</v>
      </c>
      <c r="J56" s="20">
        <v>196.11</v>
      </c>
      <c r="K56" s="20">
        <v>196.11</v>
      </c>
      <c r="L56" s="23">
        <v>9</v>
      </c>
      <c r="M56" s="20">
        <v>17.649999999999999</v>
      </c>
      <c r="N56" s="23">
        <v>9</v>
      </c>
      <c r="O56" s="20">
        <v>17.649999999999999</v>
      </c>
      <c r="P56" s="20">
        <v>231.41</v>
      </c>
    </row>
    <row r="57" spans="1:16" x14ac:dyDescent="0.35">
      <c r="A57">
        <v>56</v>
      </c>
      <c r="B57" t="s">
        <v>116</v>
      </c>
      <c r="C57" s="4" t="s">
        <v>125</v>
      </c>
      <c r="D57">
        <v>6</v>
      </c>
      <c r="E57" t="s">
        <v>131</v>
      </c>
      <c r="F57" s="2">
        <v>45932</v>
      </c>
      <c r="G57" s="3">
        <v>46874</v>
      </c>
      <c r="H57" s="20">
        <v>87.190909090909088</v>
      </c>
      <c r="I57" s="20">
        <v>125.89</v>
      </c>
      <c r="J57" s="20">
        <v>95.91</v>
      </c>
      <c r="K57" s="20">
        <v>465.16</v>
      </c>
      <c r="L57" s="23">
        <v>2.5</v>
      </c>
      <c r="M57" s="20">
        <v>11.63</v>
      </c>
      <c r="N57" s="23">
        <v>2.5</v>
      </c>
      <c r="O57" s="20">
        <v>11.63</v>
      </c>
      <c r="P57" s="20">
        <v>488.42</v>
      </c>
    </row>
    <row r="58" spans="1:16" x14ac:dyDescent="0.35">
      <c r="A58">
        <v>57</v>
      </c>
      <c r="B58" t="s">
        <v>117</v>
      </c>
      <c r="C58" s="4" t="s">
        <v>126</v>
      </c>
      <c r="D58">
        <v>1</v>
      </c>
      <c r="E58" t="s">
        <v>131</v>
      </c>
      <c r="F58" s="2">
        <v>45933</v>
      </c>
      <c r="G58" s="3">
        <v>46813</v>
      </c>
      <c r="H58" s="20">
        <v>102.84545454545453</v>
      </c>
      <c r="I58" s="20">
        <v>150</v>
      </c>
      <c r="J58" s="20">
        <v>113.13</v>
      </c>
      <c r="K58" s="20">
        <v>113.12</v>
      </c>
      <c r="L58" s="23">
        <v>9</v>
      </c>
      <c r="M58" s="20">
        <v>10.18</v>
      </c>
      <c r="N58" s="23">
        <v>9</v>
      </c>
      <c r="O58" s="20">
        <v>10.18</v>
      </c>
      <c r="P58" s="20">
        <v>133.49</v>
      </c>
    </row>
    <row r="59" spans="1:16" x14ac:dyDescent="0.35">
      <c r="A59">
        <v>58</v>
      </c>
      <c r="B59" t="s">
        <v>119</v>
      </c>
      <c r="C59" s="4" t="s">
        <v>127</v>
      </c>
      <c r="D59">
        <v>5</v>
      </c>
      <c r="E59" t="s">
        <v>131</v>
      </c>
      <c r="F59" s="2">
        <v>45933</v>
      </c>
      <c r="G59" s="3">
        <v>46874</v>
      </c>
      <c r="H59" s="20">
        <v>30.272727272727266</v>
      </c>
      <c r="I59" s="20">
        <v>41.63</v>
      </c>
      <c r="J59" s="20">
        <v>33.299999999999997</v>
      </c>
      <c r="K59" s="20">
        <v>161.51</v>
      </c>
      <c r="L59" s="23">
        <v>2.5</v>
      </c>
      <c r="M59" s="20">
        <v>4.04</v>
      </c>
      <c r="N59" s="23">
        <v>2.5</v>
      </c>
      <c r="O59" s="20">
        <v>4.04</v>
      </c>
      <c r="P59" s="20">
        <v>169.58</v>
      </c>
    </row>
    <row r="60" spans="1:16" x14ac:dyDescent="0.35">
      <c r="A60">
        <v>59</v>
      </c>
      <c r="B60" t="s">
        <v>120</v>
      </c>
      <c r="C60" s="4">
        <v>5038</v>
      </c>
      <c r="D60">
        <v>5</v>
      </c>
      <c r="E60" t="s">
        <v>131</v>
      </c>
      <c r="F60" s="2">
        <v>45933</v>
      </c>
      <c r="G60" s="3">
        <v>46478</v>
      </c>
      <c r="H60" s="20">
        <v>220.78181818181818</v>
      </c>
      <c r="I60" s="20">
        <v>340</v>
      </c>
      <c r="J60" s="20">
        <v>242.86</v>
      </c>
      <c r="K60" s="20">
        <v>1177.8699999999999</v>
      </c>
      <c r="L60" s="23">
        <v>2.5</v>
      </c>
      <c r="M60" s="20">
        <v>29.45</v>
      </c>
      <c r="N60" s="23">
        <v>2.5</v>
      </c>
      <c r="O60" s="20">
        <v>29.45</v>
      </c>
      <c r="P60" s="20">
        <v>1236.77</v>
      </c>
    </row>
    <row r="61" spans="1:16" x14ac:dyDescent="0.35">
      <c r="A61">
        <v>60</v>
      </c>
      <c r="B61" t="s">
        <v>121</v>
      </c>
      <c r="C61" s="4" t="s">
        <v>128</v>
      </c>
      <c r="D61">
        <v>1</v>
      </c>
      <c r="E61" t="s">
        <v>131</v>
      </c>
      <c r="F61" s="2">
        <v>45933</v>
      </c>
      <c r="G61" s="3">
        <v>46478</v>
      </c>
      <c r="H61" s="20">
        <v>25.227272727272727</v>
      </c>
      <c r="I61" s="20">
        <v>57.09</v>
      </c>
      <c r="J61" s="20">
        <v>27.75</v>
      </c>
      <c r="K61" s="20">
        <v>27.75</v>
      </c>
      <c r="L61" s="23">
        <v>2.5</v>
      </c>
      <c r="M61" s="20">
        <v>0.69</v>
      </c>
      <c r="N61" s="23">
        <v>2.5</v>
      </c>
      <c r="O61" s="20">
        <v>0.69</v>
      </c>
      <c r="P61" s="20">
        <v>29.13</v>
      </c>
    </row>
    <row r="62" spans="1:16" x14ac:dyDescent="0.35">
      <c r="A62">
        <v>61</v>
      </c>
      <c r="B62" t="s">
        <v>122</v>
      </c>
      <c r="C62" s="4" t="s">
        <v>129</v>
      </c>
      <c r="D62">
        <v>2</v>
      </c>
      <c r="E62" t="s">
        <v>131</v>
      </c>
      <c r="F62" s="2">
        <v>45933</v>
      </c>
      <c r="G62" s="3">
        <v>46905</v>
      </c>
      <c r="H62" s="20">
        <v>173.34545454545454</v>
      </c>
      <c r="I62" s="20">
        <v>270</v>
      </c>
      <c r="J62" s="20">
        <v>190.68</v>
      </c>
      <c r="K62" s="20">
        <v>381.36</v>
      </c>
      <c r="L62" s="23">
        <v>9</v>
      </c>
      <c r="M62" s="20">
        <v>34.32</v>
      </c>
      <c r="N62" s="23">
        <v>9</v>
      </c>
      <c r="O62" s="20">
        <v>34.32</v>
      </c>
      <c r="P62" s="20">
        <v>450</v>
      </c>
    </row>
    <row r="63" spans="1:16" x14ac:dyDescent="0.35">
      <c r="A63">
        <v>62</v>
      </c>
      <c r="B63" t="s">
        <v>123</v>
      </c>
      <c r="C63" s="4" t="s">
        <v>130</v>
      </c>
      <c r="D63">
        <v>5</v>
      </c>
      <c r="E63" t="s">
        <v>131</v>
      </c>
      <c r="F63" s="2">
        <v>45933</v>
      </c>
      <c r="G63" s="3">
        <v>46784</v>
      </c>
      <c r="H63" s="20">
        <v>51.663636363636357</v>
      </c>
      <c r="I63" s="20">
        <v>74.59</v>
      </c>
      <c r="J63" s="20">
        <v>56.83</v>
      </c>
      <c r="K63" s="20">
        <v>275.63</v>
      </c>
      <c r="L63" s="23">
        <v>2.5</v>
      </c>
      <c r="M63" s="20">
        <v>6.89</v>
      </c>
      <c r="N63" s="23">
        <v>2.5</v>
      </c>
      <c r="O63" s="20">
        <v>6.89</v>
      </c>
      <c r="P63" s="20">
        <v>289.41000000000003</v>
      </c>
    </row>
    <row r="64" spans="1:16" x14ac:dyDescent="0.35">
      <c r="A64">
        <v>63</v>
      </c>
      <c r="B64" t="s">
        <v>132</v>
      </c>
      <c r="C64" s="4" t="s">
        <v>133</v>
      </c>
      <c r="D64">
        <v>10</v>
      </c>
      <c r="E64" t="s">
        <v>134</v>
      </c>
      <c r="F64" s="2">
        <v>45933</v>
      </c>
      <c r="G64" s="3">
        <v>46508</v>
      </c>
      <c r="H64" s="20">
        <v>119.09999999999998</v>
      </c>
      <c r="I64" s="20">
        <v>165</v>
      </c>
      <c r="J64" s="20">
        <v>131.01</v>
      </c>
      <c r="K64" s="20">
        <v>1270.8</v>
      </c>
      <c r="L64" s="23">
        <v>2.5</v>
      </c>
      <c r="M64" s="20">
        <v>31.77</v>
      </c>
      <c r="N64" s="23">
        <v>2.5</v>
      </c>
      <c r="O64" s="20">
        <v>31.77</v>
      </c>
      <c r="P64" s="20">
        <v>1334.34</v>
      </c>
    </row>
    <row r="65" spans="1:16" x14ac:dyDescent="0.35">
      <c r="A65">
        <v>64</v>
      </c>
      <c r="B65" t="s">
        <v>135</v>
      </c>
      <c r="C65" s="4">
        <v>34013090</v>
      </c>
      <c r="D65">
        <v>12</v>
      </c>
      <c r="E65" t="s">
        <v>136</v>
      </c>
      <c r="F65" s="2">
        <v>45933</v>
      </c>
      <c r="G65" s="3">
        <v>46539</v>
      </c>
      <c r="H65" s="20">
        <v>246.5363636363636</v>
      </c>
      <c r="I65" s="20">
        <v>400</v>
      </c>
      <c r="J65" s="20">
        <v>271.19</v>
      </c>
      <c r="K65" s="20">
        <v>2711.9</v>
      </c>
      <c r="L65" s="23">
        <v>9</v>
      </c>
      <c r="M65" s="20">
        <v>244.07</v>
      </c>
      <c r="N65" s="23">
        <v>9</v>
      </c>
      <c r="O65" s="20">
        <v>244.07</v>
      </c>
      <c r="P65" s="20">
        <v>3200</v>
      </c>
    </row>
    <row r="66" spans="1:16" x14ac:dyDescent="0.35">
      <c r="A66">
        <v>65</v>
      </c>
      <c r="B66" t="s">
        <v>137</v>
      </c>
      <c r="C66" s="4" t="s">
        <v>139</v>
      </c>
      <c r="D66">
        <v>5</v>
      </c>
      <c r="E66" t="s">
        <v>141</v>
      </c>
      <c r="F66" s="2">
        <v>45933</v>
      </c>
      <c r="G66" s="3">
        <v>46478</v>
      </c>
      <c r="H66" s="20">
        <v>616.88181818181818</v>
      </c>
      <c r="I66" s="20">
        <v>890.63</v>
      </c>
      <c r="J66" s="20">
        <v>678.57</v>
      </c>
      <c r="K66" s="20">
        <v>3291.06</v>
      </c>
      <c r="L66" s="23">
        <v>2.5</v>
      </c>
      <c r="M66" s="20">
        <v>164.56</v>
      </c>
      <c r="N66" s="23">
        <v>2.5</v>
      </c>
      <c r="O66" s="20">
        <v>164.56</v>
      </c>
      <c r="P66" s="20">
        <v>3455.62</v>
      </c>
    </row>
    <row r="67" spans="1:16" x14ac:dyDescent="0.35">
      <c r="A67">
        <v>66</v>
      </c>
      <c r="B67" t="s">
        <v>138</v>
      </c>
      <c r="C67" s="4" t="s">
        <v>140</v>
      </c>
      <c r="D67">
        <v>5</v>
      </c>
      <c r="E67" t="s">
        <v>141</v>
      </c>
      <c r="F67" s="2">
        <v>45933</v>
      </c>
      <c r="G67" s="3">
        <v>46478</v>
      </c>
      <c r="H67" s="20">
        <v>603.24545454545455</v>
      </c>
      <c r="I67" s="20">
        <v>870.94</v>
      </c>
      <c r="J67" s="20">
        <v>663.57</v>
      </c>
      <c r="K67" s="20">
        <v>3218.31</v>
      </c>
      <c r="L67" s="23">
        <v>2.5</v>
      </c>
      <c r="M67" s="20">
        <v>160.91999999999999</v>
      </c>
      <c r="N67" s="23">
        <v>2.5</v>
      </c>
      <c r="O67" s="20">
        <v>160.91999999999999</v>
      </c>
      <c r="P67" s="20">
        <v>3379.23</v>
      </c>
    </row>
    <row r="68" spans="1:16" x14ac:dyDescent="0.35">
      <c r="A68">
        <v>67</v>
      </c>
      <c r="B68" t="s">
        <v>142</v>
      </c>
      <c r="C68" s="4" t="s">
        <v>146</v>
      </c>
      <c r="D68">
        <v>1</v>
      </c>
      <c r="E68" t="s">
        <v>131</v>
      </c>
      <c r="F68" s="2">
        <v>45933</v>
      </c>
      <c r="G68" s="3">
        <v>46539</v>
      </c>
      <c r="H68" s="20">
        <v>32.727272727272727</v>
      </c>
      <c r="I68" s="20">
        <v>112</v>
      </c>
      <c r="J68" s="20">
        <v>36</v>
      </c>
      <c r="K68" s="20">
        <v>36</v>
      </c>
      <c r="L68" s="23">
        <v>2.5</v>
      </c>
      <c r="M68" s="20">
        <v>0.9</v>
      </c>
      <c r="N68" s="23">
        <v>2.5</v>
      </c>
      <c r="O68" s="20">
        <v>0.9</v>
      </c>
      <c r="P68" s="20">
        <v>37.799999999999997</v>
      </c>
    </row>
    <row r="69" spans="1:16" x14ac:dyDescent="0.35">
      <c r="A69">
        <v>68</v>
      </c>
      <c r="B69" t="s">
        <v>143</v>
      </c>
      <c r="C69" s="4" t="s">
        <v>147</v>
      </c>
      <c r="D69">
        <v>1</v>
      </c>
      <c r="E69" t="s">
        <v>131</v>
      </c>
      <c r="F69" s="2">
        <v>45933</v>
      </c>
      <c r="G69" s="3">
        <v>46784</v>
      </c>
      <c r="H69" s="20">
        <v>459.78181818181815</v>
      </c>
      <c r="I69" s="20">
        <v>746</v>
      </c>
      <c r="J69" s="20">
        <v>505.76</v>
      </c>
      <c r="K69" s="20">
        <v>490.59</v>
      </c>
      <c r="L69" s="23">
        <v>9</v>
      </c>
      <c r="M69" s="20">
        <v>44.15</v>
      </c>
      <c r="N69" s="23">
        <v>9</v>
      </c>
      <c r="O69" s="20">
        <v>44.15</v>
      </c>
      <c r="P69" s="20">
        <v>578.89</v>
      </c>
    </row>
    <row r="70" spans="1:16" x14ac:dyDescent="0.35">
      <c r="A70">
        <v>69</v>
      </c>
      <c r="B70" t="s">
        <v>144</v>
      </c>
      <c r="C70" s="4" t="s">
        <v>148</v>
      </c>
      <c r="D70">
        <v>1</v>
      </c>
      <c r="E70" t="s">
        <v>131</v>
      </c>
      <c r="F70" s="2">
        <v>45933</v>
      </c>
      <c r="G70" s="3">
        <v>46874</v>
      </c>
      <c r="H70" s="20">
        <v>178.28181818181818</v>
      </c>
      <c r="I70" s="20">
        <v>260</v>
      </c>
      <c r="J70" s="20">
        <v>196.11</v>
      </c>
      <c r="K70" s="20">
        <v>196.11</v>
      </c>
      <c r="L70" s="23">
        <v>9</v>
      </c>
      <c r="M70" s="20">
        <v>17.149999999999999</v>
      </c>
      <c r="N70" s="23">
        <v>9</v>
      </c>
      <c r="O70" s="20">
        <v>17.149999999999999</v>
      </c>
      <c r="P70" s="20">
        <v>231.41</v>
      </c>
    </row>
    <row r="71" spans="1:16" x14ac:dyDescent="0.35">
      <c r="A71">
        <v>70</v>
      </c>
      <c r="B71" t="s">
        <v>145</v>
      </c>
      <c r="C71" s="4" t="s">
        <v>149</v>
      </c>
      <c r="D71">
        <v>1</v>
      </c>
      <c r="E71" t="s">
        <v>131</v>
      </c>
      <c r="F71" s="2">
        <v>45933</v>
      </c>
      <c r="G71" s="3">
        <v>46388</v>
      </c>
      <c r="H71" s="20">
        <v>154.08181818181816</v>
      </c>
      <c r="I71" s="20">
        <v>222.46</v>
      </c>
      <c r="J71" s="20">
        <v>169.49</v>
      </c>
      <c r="K71" s="20">
        <v>164.41</v>
      </c>
      <c r="L71" s="23">
        <v>2.5</v>
      </c>
      <c r="M71" s="20">
        <v>4.1100000000000003</v>
      </c>
      <c r="N71" s="23">
        <v>2.5</v>
      </c>
      <c r="O71" s="20">
        <v>4.1100000000000003</v>
      </c>
      <c r="P71" s="20">
        <v>172.63</v>
      </c>
    </row>
    <row r="72" spans="1:16" x14ac:dyDescent="0.35">
      <c r="A72">
        <v>71</v>
      </c>
      <c r="B72" t="s">
        <v>145</v>
      </c>
      <c r="C72" s="4" t="s">
        <v>150</v>
      </c>
      <c r="D72">
        <v>1</v>
      </c>
      <c r="E72" t="s">
        <v>131</v>
      </c>
      <c r="F72" s="2">
        <v>45933</v>
      </c>
      <c r="G72" s="3">
        <v>46327</v>
      </c>
      <c r="H72" s="20">
        <v>154.08181818181816</v>
      </c>
      <c r="I72" s="20">
        <v>222.46</v>
      </c>
      <c r="J72" s="20">
        <v>169.49</v>
      </c>
      <c r="K72" s="20">
        <v>164.41</v>
      </c>
      <c r="L72" s="23">
        <v>2.5</v>
      </c>
      <c r="M72" s="20">
        <v>4.1100000000000003</v>
      </c>
      <c r="N72" s="23">
        <v>2.5</v>
      </c>
      <c r="O72" s="20">
        <v>4.1100000000000003</v>
      </c>
      <c r="P72" s="20">
        <v>172.63</v>
      </c>
    </row>
    <row r="73" spans="1:16" x14ac:dyDescent="0.35">
      <c r="A73">
        <v>72</v>
      </c>
      <c r="B73" t="s">
        <v>151</v>
      </c>
      <c r="C73" s="4" t="s">
        <v>152</v>
      </c>
      <c r="D73">
        <v>3</v>
      </c>
      <c r="E73" t="s">
        <v>95</v>
      </c>
      <c r="F73" s="2">
        <v>45933</v>
      </c>
      <c r="G73" s="3">
        <v>46508</v>
      </c>
      <c r="H73" s="20">
        <v>238</v>
      </c>
      <c r="I73" s="20">
        <v>328.13</v>
      </c>
      <c r="J73" s="20">
        <v>261.8</v>
      </c>
      <c r="K73" s="20">
        <v>761.84</v>
      </c>
      <c r="L73" s="23">
        <v>2.5</v>
      </c>
      <c r="M73" s="20">
        <v>19.05</v>
      </c>
      <c r="N73" s="23">
        <v>2.5</v>
      </c>
      <c r="O73" s="20">
        <v>19.05</v>
      </c>
      <c r="P73" s="20">
        <v>799.94</v>
      </c>
    </row>
    <row r="74" spans="1:16" x14ac:dyDescent="0.35">
      <c r="A74">
        <v>73</v>
      </c>
      <c r="B74" t="s">
        <v>153</v>
      </c>
      <c r="C74" s="4" t="s">
        <v>159</v>
      </c>
      <c r="D74">
        <v>2</v>
      </c>
      <c r="E74" t="s">
        <v>95</v>
      </c>
      <c r="F74" s="2">
        <v>45933</v>
      </c>
      <c r="G74" s="3">
        <v>46419</v>
      </c>
      <c r="H74" s="20">
        <v>238.96363636363637</v>
      </c>
      <c r="I74" s="20">
        <v>345</v>
      </c>
      <c r="J74" s="20">
        <v>262.86</v>
      </c>
      <c r="K74" s="20">
        <v>509.95</v>
      </c>
      <c r="L74" s="23">
        <v>2.5</v>
      </c>
      <c r="M74" s="20">
        <v>12.75</v>
      </c>
      <c r="N74" s="23">
        <v>2.5</v>
      </c>
      <c r="O74" s="20">
        <v>12.75</v>
      </c>
      <c r="P74" s="20">
        <v>535.45000000000005</v>
      </c>
    </row>
    <row r="75" spans="1:16" x14ac:dyDescent="0.35">
      <c r="A75">
        <v>74</v>
      </c>
      <c r="B75" t="s">
        <v>154</v>
      </c>
      <c r="C75" s="4" t="s">
        <v>160</v>
      </c>
      <c r="D75">
        <v>6</v>
      </c>
      <c r="E75" t="s">
        <v>95</v>
      </c>
      <c r="F75" s="2">
        <v>45933</v>
      </c>
      <c r="G75" s="3">
        <v>46508</v>
      </c>
      <c r="H75" s="20">
        <v>141.76363636363635</v>
      </c>
      <c r="I75" s="20">
        <v>204.66</v>
      </c>
      <c r="J75" s="20">
        <v>155.94</v>
      </c>
      <c r="K75" s="20">
        <v>907.57</v>
      </c>
      <c r="L75" s="23">
        <v>2.5</v>
      </c>
      <c r="M75" s="20">
        <v>22.69</v>
      </c>
      <c r="N75" s="23">
        <v>2.5</v>
      </c>
      <c r="O75" s="20">
        <v>22.69</v>
      </c>
      <c r="P75" s="20">
        <v>952.95</v>
      </c>
    </row>
    <row r="76" spans="1:16" x14ac:dyDescent="0.35">
      <c r="A76">
        <v>75</v>
      </c>
      <c r="B76" t="s">
        <v>155</v>
      </c>
      <c r="C76" s="4" t="s">
        <v>161</v>
      </c>
      <c r="D76">
        <v>1</v>
      </c>
      <c r="E76" t="s">
        <v>95</v>
      </c>
      <c r="F76" s="2">
        <v>45933</v>
      </c>
      <c r="G76" s="3">
        <v>46478</v>
      </c>
      <c r="H76" s="20">
        <v>160.24545454545455</v>
      </c>
      <c r="I76" s="20">
        <v>231.36</v>
      </c>
      <c r="J76" s="20">
        <v>176.27</v>
      </c>
      <c r="K76" s="20">
        <v>170.98</v>
      </c>
      <c r="L76" s="23">
        <v>2.5</v>
      </c>
      <c r="M76" s="20">
        <v>4.2699999999999996</v>
      </c>
      <c r="N76" s="23">
        <v>2.5</v>
      </c>
      <c r="O76" s="20">
        <v>4.2699999999999996</v>
      </c>
      <c r="P76" s="20">
        <v>179.52</v>
      </c>
    </row>
    <row r="77" spans="1:16" x14ac:dyDescent="0.35">
      <c r="A77">
        <v>76</v>
      </c>
      <c r="B77" t="s">
        <v>156</v>
      </c>
      <c r="C77" s="4" t="s">
        <v>162</v>
      </c>
      <c r="D77">
        <v>2</v>
      </c>
      <c r="E77" t="s">
        <v>95</v>
      </c>
      <c r="F77" s="2">
        <v>45933</v>
      </c>
      <c r="G77" s="3">
        <v>46784</v>
      </c>
      <c r="H77" s="20">
        <v>147.85454545454542</v>
      </c>
      <c r="I77" s="20">
        <v>213.47</v>
      </c>
      <c r="J77" s="20">
        <v>162.63999999999999</v>
      </c>
      <c r="K77" s="20">
        <v>315.52</v>
      </c>
      <c r="L77" s="23">
        <v>2.5</v>
      </c>
      <c r="M77" s="20">
        <v>7.89</v>
      </c>
      <c r="N77" s="23">
        <v>2.5</v>
      </c>
      <c r="O77" s="20">
        <v>7.89</v>
      </c>
      <c r="P77" s="20">
        <v>331.3</v>
      </c>
    </row>
    <row r="78" spans="1:16" x14ac:dyDescent="0.35">
      <c r="A78">
        <v>77</v>
      </c>
      <c r="B78" t="s">
        <v>157</v>
      </c>
      <c r="C78" s="4" t="s">
        <v>163</v>
      </c>
      <c r="D78">
        <v>1</v>
      </c>
      <c r="E78" t="s">
        <v>95</v>
      </c>
      <c r="F78" s="2">
        <v>45933</v>
      </c>
      <c r="G78" s="3">
        <v>47788</v>
      </c>
      <c r="H78" s="20">
        <v>129.43636363636361</v>
      </c>
      <c r="I78" s="20">
        <v>186.86</v>
      </c>
      <c r="J78" s="20">
        <v>142.38</v>
      </c>
      <c r="K78" s="20">
        <v>138.11000000000001</v>
      </c>
      <c r="L78" s="23">
        <v>2.5</v>
      </c>
      <c r="M78" s="20">
        <v>3.45</v>
      </c>
      <c r="N78" s="23">
        <v>2.5</v>
      </c>
      <c r="O78" s="20">
        <v>3.45</v>
      </c>
      <c r="P78" s="20">
        <v>145.01</v>
      </c>
    </row>
    <row r="79" spans="1:16" x14ac:dyDescent="0.35">
      <c r="A79">
        <v>78</v>
      </c>
      <c r="B79" t="s">
        <v>158</v>
      </c>
      <c r="C79" s="4" t="s">
        <v>164</v>
      </c>
      <c r="D79">
        <v>1</v>
      </c>
      <c r="E79" t="s">
        <v>95</v>
      </c>
      <c r="F79" s="2">
        <v>45933</v>
      </c>
      <c r="G79" s="3">
        <v>46508</v>
      </c>
      <c r="H79" s="20">
        <v>93.818181818181813</v>
      </c>
      <c r="I79" s="20">
        <v>144.47999999999999</v>
      </c>
      <c r="J79" s="20">
        <v>103.2</v>
      </c>
      <c r="K79" s="20">
        <v>100.1</v>
      </c>
      <c r="L79" s="23">
        <v>2.5</v>
      </c>
      <c r="M79" s="20">
        <v>2.5</v>
      </c>
      <c r="N79" s="23">
        <v>2.5</v>
      </c>
      <c r="O79" s="20">
        <v>2.5</v>
      </c>
      <c r="P79" s="20">
        <v>105.1</v>
      </c>
    </row>
    <row r="80" spans="1:16" x14ac:dyDescent="0.35">
      <c r="A80">
        <v>79</v>
      </c>
      <c r="B80" t="s">
        <v>165</v>
      </c>
      <c r="C80" s="4" t="s">
        <v>174</v>
      </c>
      <c r="D80">
        <v>3</v>
      </c>
      <c r="E80" t="s">
        <v>95</v>
      </c>
      <c r="F80" s="2">
        <v>45933</v>
      </c>
      <c r="G80" s="3">
        <v>46478</v>
      </c>
      <c r="H80" s="20">
        <v>52.009090909090908</v>
      </c>
      <c r="I80" s="20">
        <v>75.09</v>
      </c>
      <c r="J80" s="20">
        <v>57.21</v>
      </c>
      <c r="K80" s="20">
        <v>166.48</v>
      </c>
      <c r="L80" s="23">
        <v>2.5</v>
      </c>
      <c r="M80" s="20">
        <v>4.16</v>
      </c>
      <c r="N80" s="23">
        <v>2.5</v>
      </c>
      <c r="O80" s="20">
        <v>4.16</v>
      </c>
      <c r="P80" s="20">
        <v>174.8</v>
      </c>
    </row>
    <row r="81" spans="1:16" x14ac:dyDescent="0.35">
      <c r="A81">
        <v>80</v>
      </c>
      <c r="B81" t="s">
        <v>166</v>
      </c>
      <c r="C81" s="4" t="s">
        <v>175</v>
      </c>
      <c r="D81">
        <v>10</v>
      </c>
      <c r="E81" t="s">
        <v>95</v>
      </c>
      <c r="F81" s="2">
        <v>45933</v>
      </c>
      <c r="G81" s="3">
        <v>46784</v>
      </c>
      <c r="H81" s="20">
        <v>45.199999999999996</v>
      </c>
      <c r="I81" s="20">
        <v>65.260000000000005</v>
      </c>
      <c r="J81" s="20">
        <v>49.72</v>
      </c>
      <c r="K81" s="20">
        <v>482.28</v>
      </c>
      <c r="L81" s="23">
        <v>2.5</v>
      </c>
      <c r="M81" s="20">
        <v>12.06</v>
      </c>
      <c r="N81" s="23">
        <v>2.5</v>
      </c>
      <c r="O81" s="20">
        <v>12.06</v>
      </c>
      <c r="P81" s="20">
        <v>506.4</v>
      </c>
    </row>
    <row r="82" spans="1:16" x14ac:dyDescent="0.35">
      <c r="A82">
        <v>81</v>
      </c>
      <c r="B82" t="s">
        <v>167</v>
      </c>
      <c r="C82" s="4" t="s">
        <v>176</v>
      </c>
      <c r="D82">
        <v>1</v>
      </c>
      <c r="E82" t="s">
        <v>95</v>
      </c>
      <c r="F82" s="2">
        <v>45933</v>
      </c>
      <c r="G82" s="3">
        <v>46447</v>
      </c>
      <c r="H82" s="20">
        <v>218.79999999999998</v>
      </c>
      <c r="I82" s="20">
        <v>355</v>
      </c>
      <c r="J82" s="20">
        <v>240.68</v>
      </c>
      <c r="K82" s="20">
        <v>233.46</v>
      </c>
      <c r="L82" s="23">
        <v>9</v>
      </c>
      <c r="M82" s="20">
        <v>21.01</v>
      </c>
      <c r="N82" s="23">
        <v>9</v>
      </c>
      <c r="O82" s="20">
        <v>21.01</v>
      </c>
      <c r="P82" s="20">
        <v>274.48</v>
      </c>
    </row>
    <row r="83" spans="1:16" x14ac:dyDescent="0.35">
      <c r="A83">
        <v>82</v>
      </c>
      <c r="B83" t="s">
        <v>168</v>
      </c>
      <c r="C83" s="4" t="s">
        <v>177</v>
      </c>
      <c r="D83">
        <v>1</v>
      </c>
      <c r="E83" t="s">
        <v>95</v>
      </c>
      <c r="F83" s="2">
        <v>45933</v>
      </c>
      <c r="G83" s="3">
        <v>46478</v>
      </c>
      <c r="H83" s="20">
        <v>62.072727272727271</v>
      </c>
      <c r="I83" s="20">
        <v>89.62</v>
      </c>
      <c r="J83" s="20">
        <v>68.28</v>
      </c>
      <c r="K83" s="20">
        <v>66.23</v>
      </c>
      <c r="L83" s="23">
        <v>2.5</v>
      </c>
      <c r="M83" s="20">
        <v>1.66</v>
      </c>
      <c r="N83" s="23">
        <v>2.5</v>
      </c>
      <c r="O83" s="20">
        <v>1.66</v>
      </c>
      <c r="P83" s="20">
        <v>69.55</v>
      </c>
    </row>
    <row r="84" spans="1:16" x14ac:dyDescent="0.35">
      <c r="A84">
        <v>83</v>
      </c>
      <c r="B84" t="s">
        <v>169</v>
      </c>
      <c r="C84" s="4" t="s">
        <v>178</v>
      </c>
      <c r="D84">
        <v>2</v>
      </c>
      <c r="E84" t="s">
        <v>95</v>
      </c>
      <c r="F84" s="2">
        <v>45933</v>
      </c>
      <c r="G84" s="3">
        <v>46447</v>
      </c>
      <c r="H84" s="20">
        <v>127.91818181818182</v>
      </c>
      <c r="I84" s="20">
        <v>184.69</v>
      </c>
      <c r="J84" s="20">
        <v>140.71</v>
      </c>
      <c r="K84" s="20">
        <v>272.98</v>
      </c>
      <c r="L84" s="23">
        <v>2.5</v>
      </c>
      <c r="M84" s="20">
        <v>6.82</v>
      </c>
      <c r="N84" s="23">
        <v>2.5</v>
      </c>
      <c r="O84" s="20">
        <v>6.82</v>
      </c>
      <c r="P84" s="20">
        <v>286.62</v>
      </c>
    </row>
    <row r="85" spans="1:16" x14ac:dyDescent="0.35">
      <c r="A85">
        <v>84</v>
      </c>
      <c r="B85" t="s">
        <v>170</v>
      </c>
      <c r="C85" s="4" t="s">
        <v>179</v>
      </c>
      <c r="D85">
        <v>3</v>
      </c>
      <c r="E85" t="s">
        <v>95</v>
      </c>
      <c r="F85" s="2">
        <v>45933</v>
      </c>
      <c r="G85" s="3">
        <v>46905</v>
      </c>
      <c r="H85" s="20">
        <v>281</v>
      </c>
      <c r="I85" s="20">
        <v>405.7</v>
      </c>
      <c r="J85" s="20">
        <v>309.10000000000002</v>
      </c>
      <c r="K85" s="20">
        <v>899.48</v>
      </c>
      <c r="L85" s="23">
        <v>2.5</v>
      </c>
      <c r="M85" s="20">
        <v>22.49</v>
      </c>
      <c r="N85" s="23">
        <v>2.5</v>
      </c>
      <c r="O85" s="20">
        <v>22.49</v>
      </c>
      <c r="P85" s="20">
        <v>944.46</v>
      </c>
    </row>
    <row r="86" spans="1:16" x14ac:dyDescent="0.35">
      <c r="A86">
        <v>85</v>
      </c>
      <c r="B86" t="s">
        <v>171</v>
      </c>
      <c r="C86" s="4" t="s">
        <v>180</v>
      </c>
      <c r="D86">
        <v>2</v>
      </c>
      <c r="E86" t="s">
        <v>95</v>
      </c>
      <c r="F86" s="2">
        <v>45933</v>
      </c>
      <c r="G86" s="3">
        <v>46874</v>
      </c>
      <c r="H86" s="20">
        <v>55.154545454545449</v>
      </c>
      <c r="I86" s="20">
        <v>84.94</v>
      </c>
      <c r="J86" s="20">
        <v>60.67</v>
      </c>
      <c r="K86" s="20">
        <v>117.7</v>
      </c>
      <c r="L86" s="23">
        <v>2.5</v>
      </c>
      <c r="M86" s="20">
        <v>2.94</v>
      </c>
      <c r="N86" s="23">
        <v>2.5</v>
      </c>
      <c r="O86" s="20">
        <v>2.94</v>
      </c>
      <c r="P86" s="20">
        <v>123.58</v>
      </c>
    </row>
    <row r="87" spans="1:16" x14ac:dyDescent="0.35">
      <c r="A87">
        <v>86</v>
      </c>
      <c r="B87" t="s">
        <v>172</v>
      </c>
      <c r="C87" s="4" t="s">
        <v>181</v>
      </c>
      <c r="D87">
        <v>20</v>
      </c>
      <c r="E87" t="s">
        <v>95</v>
      </c>
      <c r="F87" s="2">
        <v>45933</v>
      </c>
      <c r="G87" s="3">
        <v>46569</v>
      </c>
      <c r="H87" s="20">
        <v>17.09090909090909</v>
      </c>
      <c r="I87" s="20">
        <v>24.68</v>
      </c>
      <c r="J87" s="20">
        <v>18.8</v>
      </c>
      <c r="K87" s="20">
        <v>364.72</v>
      </c>
      <c r="L87" s="23">
        <v>2.5</v>
      </c>
      <c r="M87" s="20">
        <v>9.1199999999999992</v>
      </c>
      <c r="N87" s="23">
        <v>2.5</v>
      </c>
      <c r="O87" s="20">
        <v>9.1199999999999992</v>
      </c>
      <c r="P87" s="20">
        <v>382.96</v>
      </c>
    </row>
    <row r="88" spans="1:16" x14ac:dyDescent="0.35">
      <c r="A88">
        <v>87</v>
      </c>
      <c r="B88" t="s">
        <v>173</v>
      </c>
      <c r="C88" s="4" t="s">
        <v>182</v>
      </c>
      <c r="D88">
        <v>1</v>
      </c>
      <c r="E88" t="s">
        <v>95</v>
      </c>
      <c r="F88" s="2">
        <v>45933</v>
      </c>
      <c r="G88" s="3">
        <v>46508</v>
      </c>
      <c r="H88" s="20">
        <v>150.05454545454543</v>
      </c>
      <c r="I88" s="20">
        <v>216.64</v>
      </c>
      <c r="J88" s="20">
        <v>165.06</v>
      </c>
      <c r="K88" s="20">
        <v>160.11000000000001</v>
      </c>
      <c r="L88" s="23">
        <v>2.5</v>
      </c>
      <c r="M88" s="20">
        <v>4</v>
      </c>
      <c r="N88" s="23">
        <v>2.5</v>
      </c>
      <c r="O88" s="20">
        <v>4</v>
      </c>
      <c r="P88" s="20">
        <v>168.11</v>
      </c>
    </row>
    <row r="89" spans="1:16" x14ac:dyDescent="0.35">
      <c r="A89">
        <v>88</v>
      </c>
      <c r="B89" t="s">
        <v>183</v>
      </c>
      <c r="C89" s="4" t="s">
        <v>185</v>
      </c>
      <c r="D89">
        <v>12</v>
      </c>
      <c r="E89" t="s">
        <v>131</v>
      </c>
      <c r="F89" s="2">
        <v>45934</v>
      </c>
      <c r="G89" s="3">
        <v>46631</v>
      </c>
      <c r="H89" s="20">
        <v>36.918181818181814</v>
      </c>
      <c r="I89" s="20">
        <v>53.3</v>
      </c>
      <c r="J89" s="20">
        <v>40.61</v>
      </c>
      <c r="K89" s="20">
        <v>472.7</v>
      </c>
      <c r="L89" s="23">
        <v>2.5</v>
      </c>
      <c r="M89" s="20">
        <v>11.82</v>
      </c>
      <c r="N89" s="23">
        <v>2.5</v>
      </c>
      <c r="O89" s="20">
        <v>11.82</v>
      </c>
      <c r="P89" s="20">
        <v>496.34</v>
      </c>
    </row>
    <row r="90" spans="1:16" x14ac:dyDescent="0.35">
      <c r="A90">
        <v>89</v>
      </c>
      <c r="B90" t="s">
        <v>98</v>
      </c>
      <c r="C90" s="4" t="s">
        <v>186</v>
      </c>
      <c r="D90">
        <v>1</v>
      </c>
      <c r="E90" t="s">
        <v>131</v>
      </c>
      <c r="F90" s="2">
        <v>45934</v>
      </c>
      <c r="G90" s="3">
        <v>46539</v>
      </c>
      <c r="H90" s="20">
        <v>177.93636363636361</v>
      </c>
      <c r="I90" s="20">
        <v>256.89999999999998</v>
      </c>
      <c r="J90" s="20">
        <v>195.73</v>
      </c>
      <c r="K90" s="20">
        <v>189.86</v>
      </c>
      <c r="L90" s="23">
        <v>2.5</v>
      </c>
      <c r="M90" s="20">
        <v>4.75</v>
      </c>
      <c r="N90" s="23">
        <v>2.5</v>
      </c>
      <c r="O90" s="20">
        <v>4.75</v>
      </c>
      <c r="P90" s="20">
        <v>199.36</v>
      </c>
    </row>
    <row r="91" spans="1:16" x14ac:dyDescent="0.35">
      <c r="A91">
        <v>90</v>
      </c>
      <c r="B91" t="s">
        <v>184</v>
      </c>
      <c r="C91" s="4" t="s">
        <v>187</v>
      </c>
      <c r="D91">
        <v>19</v>
      </c>
      <c r="E91" t="s">
        <v>131</v>
      </c>
      <c r="F91" s="2">
        <v>45934</v>
      </c>
      <c r="G91" s="3">
        <v>46327</v>
      </c>
      <c r="H91" s="20">
        <v>16.681818181818183</v>
      </c>
      <c r="I91" s="20">
        <v>150.56</v>
      </c>
      <c r="J91" s="20">
        <v>18.350000000000001</v>
      </c>
      <c r="K91" s="20">
        <v>348.65</v>
      </c>
      <c r="L91" s="23">
        <v>2.5</v>
      </c>
      <c r="M91" s="20">
        <v>8.7200000000000006</v>
      </c>
      <c r="N91" s="23">
        <v>2.5</v>
      </c>
      <c r="O91" s="20">
        <v>8.7200000000000006</v>
      </c>
      <c r="P91" s="20">
        <v>366.09</v>
      </c>
    </row>
    <row r="92" spans="1:16" x14ac:dyDescent="0.35">
      <c r="A92">
        <v>91</v>
      </c>
      <c r="B92" t="s">
        <v>188</v>
      </c>
      <c r="C92" s="4" t="s">
        <v>192</v>
      </c>
      <c r="D92">
        <v>3</v>
      </c>
      <c r="E92" t="s">
        <v>95</v>
      </c>
      <c r="F92" s="2">
        <v>45934</v>
      </c>
      <c r="G92" s="3">
        <v>46508</v>
      </c>
      <c r="H92" s="20">
        <v>72.545454545454533</v>
      </c>
      <c r="I92" s="20">
        <v>102.19</v>
      </c>
      <c r="J92" s="20">
        <v>79.8</v>
      </c>
      <c r="K92" s="20">
        <v>232.22</v>
      </c>
      <c r="L92" s="23">
        <v>2.5</v>
      </c>
      <c r="M92" s="20">
        <v>5.81</v>
      </c>
      <c r="N92" s="23">
        <v>2.5</v>
      </c>
      <c r="O92" s="20">
        <v>5.81</v>
      </c>
      <c r="P92" s="20">
        <v>243.84</v>
      </c>
    </row>
    <row r="93" spans="1:16" x14ac:dyDescent="0.35">
      <c r="A93">
        <v>92</v>
      </c>
      <c r="B93" t="s">
        <v>189</v>
      </c>
      <c r="C93" s="4" t="s">
        <v>193</v>
      </c>
      <c r="D93">
        <v>1</v>
      </c>
      <c r="E93" t="s">
        <v>95</v>
      </c>
      <c r="F93" s="2">
        <v>45934</v>
      </c>
      <c r="G93" s="3">
        <v>46569</v>
      </c>
      <c r="H93" s="20">
        <v>475.22727272727269</v>
      </c>
      <c r="I93" s="20">
        <v>667.37</v>
      </c>
      <c r="J93" s="20">
        <v>522.75</v>
      </c>
      <c r="K93" s="20">
        <v>507.07</v>
      </c>
      <c r="L93" s="23">
        <v>2.5</v>
      </c>
      <c r="M93" s="20">
        <v>12.68</v>
      </c>
      <c r="N93" s="23">
        <v>2.5</v>
      </c>
      <c r="O93" s="20">
        <v>12.68</v>
      </c>
      <c r="P93" s="20">
        <v>532.42999999999995</v>
      </c>
    </row>
    <row r="94" spans="1:16" x14ac:dyDescent="0.35">
      <c r="A94">
        <v>93</v>
      </c>
      <c r="B94" t="s">
        <v>190</v>
      </c>
      <c r="C94" s="4" t="s">
        <v>194</v>
      </c>
      <c r="D94">
        <v>2</v>
      </c>
      <c r="E94" t="s">
        <v>95</v>
      </c>
      <c r="F94" s="2">
        <v>45934</v>
      </c>
      <c r="G94" s="3">
        <v>46813</v>
      </c>
      <c r="H94" s="20">
        <v>64.772727272727266</v>
      </c>
      <c r="I94" s="20">
        <v>93.52</v>
      </c>
      <c r="J94" s="20">
        <v>71.25</v>
      </c>
      <c r="K94" s="20">
        <v>138.22999999999999</v>
      </c>
      <c r="L94" s="23">
        <v>2.5</v>
      </c>
      <c r="M94" s="20">
        <v>3.46</v>
      </c>
      <c r="N94" s="23">
        <v>2.5</v>
      </c>
      <c r="O94" s="20">
        <v>3.46</v>
      </c>
      <c r="P94" s="20">
        <v>145.15</v>
      </c>
    </row>
    <row r="95" spans="1:16" x14ac:dyDescent="0.35">
      <c r="A95">
        <v>94</v>
      </c>
      <c r="B95" t="s">
        <v>191</v>
      </c>
      <c r="C95" s="4" t="s">
        <v>195</v>
      </c>
      <c r="D95">
        <v>6</v>
      </c>
      <c r="E95" t="s">
        <v>95</v>
      </c>
      <c r="F95" s="2">
        <v>45934</v>
      </c>
      <c r="G95" s="3">
        <v>46327</v>
      </c>
      <c r="H95" s="20">
        <v>267.0454545454545</v>
      </c>
      <c r="I95" s="20">
        <v>385.55</v>
      </c>
      <c r="J95" s="20">
        <v>293.75</v>
      </c>
      <c r="K95" s="20">
        <v>1709.63</v>
      </c>
      <c r="L95" s="23">
        <v>2.5</v>
      </c>
      <c r="M95" s="20">
        <v>42.74</v>
      </c>
      <c r="N95" s="23">
        <v>2.5</v>
      </c>
      <c r="O95" s="20">
        <v>42.74</v>
      </c>
      <c r="P95" s="20">
        <v>1795.11</v>
      </c>
    </row>
    <row r="96" spans="1:16" x14ac:dyDescent="0.35">
      <c r="A96">
        <v>95</v>
      </c>
      <c r="B96" t="s">
        <v>196</v>
      </c>
      <c r="C96" s="4" t="s">
        <v>205</v>
      </c>
      <c r="D96">
        <v>1</v>
      </c>
      <c r="E96" t="s">
        <v>37</v>
      </c>
      <c r="F96" s="2">
        <v>45934</v>
      </c>
      <c r="G96" s="3">
        <v>46508</v>
      </c>
      <c r="H96" s="20">
        <v>383.09999999999997</v>
      </c>
      <c r="I96" s="20">
        <v>553.1</v>
      </c>
      <c r="J96" s="20">
        <v>421.41</v>
      </c>
      <c r="K96" s="20">
        <v>408.77</v>
      </c>
      <c r="L96" s="23">
        <v>2.5</v>
      </c>
      <c r="M96" s="20">
        <v>10.220000000000001</v>
      </c>
      <c r="N96" s="23">
        <v>2.5</v>
      </c>
      <c r="O96" s="20">
        <v>10.220000000000001</v>
      </c>
      <c r="P96" s="20">
        <v>429.21</v>
      </c>
    </row>
    <row r="97" spans="1:16" x14ac:dyDescent="0.35">
      <c r="A97">
        <v>96</v>
      </c>
      <c r="B97" t="s">
        <v>16</v>
      </c>
      <c r="C97" t="s">
        <v>1036</v>
      </c>
      <c r="D97">
        <v>5</v>
      </c>
      <c r="E97" t="s">
        <v>37</v>
      </c>
      <c r="F97" s="2">
        <v>45934</v>
      </c>
      <c r="G97" s="3">
        <v>46631</v>
      </c>
      <c r="H97" s="20">
        <v>169.49090909090907</v>
      </c>
      <c r="I97" s="20">
        <v>244.7</v>
      </c>
      <c r="J97" s="20">
        <v>186.44</v>
      </c>
      <c r="K97" s="20">
        <v>904.23</v>
      </c>
      <c r="L97" s="23">
        <v>2.5</v>
      </c>
      <c r="M97" s="20">
        <v>22.61</v>
      </c>
      <c r="N97" s="23">
        <v>2.5</v>
      </c>
      <c r="O97" s="20">
        <v>22.61</v>
      </c>
      <c r="P97" s="20">
        <v>949.45</v>
      </c>
    </row>
    <row r="98" spans="1:16" x14ac:dyDescent="0.35">
      <c r="A98">
        <v>97</v>
      </c>
      <c r="B98" t="s">
        <v>214</v>
      </c>
      <c r="C98" s="4" t="s">
        <v>206</v>
      </c>
      <c r="D98">
        <v>1</v>
      </c>
      <c r="E98" t="s">
        <v>37</v>
      </c>
      <c r="F98" s="2">
        <v>45934</v>
      </c>
      <c r="G98" s="3">
        <v>46478</v>
      </c>
      <c r="H98" s="20">
        <v>175.38181818181815</v>
      </c>
      <c r="I98" s="20">
        <v>280</v>
      </c>
      <c r="J98" s="20">
        <v>192.92</v>
      </c>
      <c r="K98" s="20">
        <v>189.06</v>
      </c>
      <c r="L98" s="23">
        <v>9</v>
      </c>
      <c r="M98" s="20">
        <v>17.02</v>
      </c>
      <c r="N98" s="23">
        <v>9</v>
      </c>
      <c r="O98" s="20">
        <v>17.02</v>
      </c>
      <c r="P98" s="20">
        <v>223.1</v>
      </c>
    </row>
    <row r="99" spans="1:16" x14ac:dyDescent="0.35">
      <c r="A99">
        <v>98</v>
      </c>
      <c r="B99" t="s">
        <v>197</v>
      </c>
      <c r="C99" s="4" t="s">
        <v>207</v>
      </c>
      <c r="D99">
        <v>2</v>
      </c>
      <c r="E99" t="s">
        <v>37</v>
      </c>
      <c r="F99" s="2">
        <v>45934</v>
      </c>
      <c r="G99" s="3">
        <v>46478</v>
      </c>
      <c r="H99" s="20">
        <v>857.93636363636358</v>
      </c>
      <c r="I99" s="20">
        <v>1392</v>
      </c>
      <c r="J99" s="20">
        <v>943.73</v>
      </c>
      <c r="K99" s="20">
        <v>1830.84</v>
      </c>
      <c r="L99" s="23">
        <v>9</v>
      </c>
      <c r="M99" s="20">
        <v>164.78</v>
      </c>
      <c r="N99" s="23">
        <v>9</v>
      </c>
      <c r="O99" s="20">
        <v>164.78</v>
      </c>
      <c r="P99" s="20">
        <v>2160.4</v>
      </c>
    </row>
    <row r="100" spans="1:16" x14ac:dyDescent="0.35">
      <c r="A100">
        <v>99</v>
      </c>
      <c r="B100" t="s">
        <v>214</v>
      </c>
      <c r="C100" s="4" t="s">
        <v>208</v>
      </c>
      <c r="D100">
        <v>1</v>
      </c>
      <c r="E100" t="s">
        <v>37</v>
      </c>
      <c r="F100" s="2">
        <v>45934</v>
      </c>
      <c r="G100" s="3">
        <v>46569</v>
      </c>
      <c r="H100" s="20">
        <v>53.245454545454542</v>
      </c>
      <c r="I100" s="20">
        <v>85</v>
      </c>
      <c r="J100" s="20">
        <v>58.57</v>
      </c>
      <c r="K100" s="20">
        <v>57.4</v>
      </c>
      <c r="L100" s="23">
        <v>9</v>
      </c>
      <c r="M100" s="20">
        <v>5.17</v>
      </c>
      <c r="N100" s="23">
        <v>9</v>
      </c>
      <c r="O100" s="20">
        <v>5.17</v>
      </c>
      <c r="P100" s="20">
        <v>67.739999999999995</v>
      </c>
    </row>
    <row r="101" spans="1:16" x14ac:dyDescent="0.35">
      <c r="A101">
        <v>100</v>
      </c>
      <c r="B101" t="s">
        <v>198</v>
      </c>
      <c r="C101" s="4" t="s">
        <v>209</v>
      </c>
      <c r="D101">
        <v>1</v>
      </c>
      <c r="E101" t="s">
        <v>37</v>
      </c>
      <c r="F101" s="2">
        <v>45934</v>
      </c>
      <c r="G101" s="3">
        <v>46508</v>
      </c>
      <c r="H101" s="20">
        <v>202.6</v>
      </c>
      <c r="I101" s="20">
        <v>292.5</v>
      </c>
      <c r="J101" s="20">
        <v>222.86</v>
      </c>
      <c r="K101" s="20">
        <v>216.17</v>
      </c>
      <c r="L101" s="23">
        <v>2.5</v>
      </c>
      <c r="M101" s="20">
        <v>5.4</v>
      </c>
      <c r="N101" s="23">
        <v>2.5</v>
      </c>
      <c r="O101" s="20">
        <v>5.4</v>
      </c>
      <c r="P101" s="20">
        <v>226.97</v>
      </c>
    </row>
    <row r="102" spans="1:16" x14ac:dyDescent="0.35">
      <c r="A102">
        <v>101</v>
      </c>
      <c r="B102" t="s">
        <v>199</v>
      </c>
      <c r="C102" s="4" t="s">
        <v>210</v>
      </c>
      <c r="D102">
        <v>1</v>
      </c>
      <c r="E102" t="s">
        <v>37</v>
      </c>
      <c r="F102" s="2">
        <v>45934</v>
      </c>
      <c r="G102" s="3">
        <v>46844</v>
      </c>
      <c r="H102" s="20">
        <v>181.81818181818181</v>
      </c>
      <c r="I102" s="20">
        <v>262.5</v>
      </c>
      <c r="J102" s="20">
        <v>200</v>
      </c>
      <c r="K102" s="20">
        <v>194</v>
      </c>
      <c r="L102" s="23">
        <v>2.5</v>
      </c>
      <c r="M102" s="20">
        <v>4.8499999999999996</v>
      </c>
      <c r="N102" s="23">
        <v>2.5</v>
      </c>
      <c r="O102" s="20">
        <v>4.8499999999999996</v>
      </c>
      <c r="P102" s="20">
        <v>203.7</v>
      </c>
    </row>
    <row r="103" spans="1:16" x14ac:dyDescent="0.35">
      <c r="A103">
        <v>102</v>
      </c>
      <c r="B103" t="s">
        <v>200</v>
      </c>
      <c r="C103" s="4" t="s">
        <v>211</v>
      </c>
      <c r="D103">
        <v>1</v>
      </c>
      <c r="E103" t="s">
        <v>37</v>
      </c>
      <c r="F103" s="2">
        <v>45934</v>
      </c>
      <c r="G103" s="3">
        <v>46357</v>
      </c>
      <c r="H103" s="20">
        <v>116.94545454545452</v>
      </c>
      <c r="I103" s="20">
        <v>168.84</v>
      </c>
      <c r="J103" s="20">
        <v>128.63999999999999</v>
      </c>
      <c r="K103" s="20">
        <v>124.78</v>
      </c>
      <c r="L103" s="23">
        <v>2.5</v>
      </c>
      <c r="M103" s="20">
        <v>3.12</v>
      </c>
      <c r="N103" s="23">
        <v>2.5</v>
      </c>
      <c r="O103" s="20">
        <v>3.12</v>
      </c>
      <c r="P103" s="20">
        <v>131.02000000000001</v>
      </c>
    </row>
    <row r="104" spans="1:16" x14ac:dyDescent="0.35">
      <c r="A104">
        <v>103</v>
      </c>
      <c r="B104" t="s">
        <v>201</v>
      </c>
      <c r="C104" s="4" t="s">
        <v>212</v>
      </c>
      <c r="D104">
        <v>1</v>
      </c>
      <c r="E104" t="s">
        <v>37</v>
      </c>
      <c r="F104" s="2">
        <v>45934</v>
      </c>
      <c r="G104" s="3">
        <v>46204</v>
      </c>
      <c r="H104" s="20">
        <v>79.218181818181819</v>
      </c>
      <c r="I104" s="20">
        <v>114.38</v>
      </c>
      <c r="J104" s="20">
        <v>87.14</v>
      </c>
      <c r="K104" s="20">
        <v>84.53</v>
      </c>
      <c r="L104" s="23">
        <v>2.5</v>
      </c>
      <c r="M104" s="20">
        <v>2.11</v>
      </c>
      <c r="N104" s="23">
        <v>2.5</v>
      </c>
      <c r="O104" s="20">
        <v>2.11</v>
      </c>
      <c r="P104" s="20">
        <v>88.75</v>
      </c>
    </row>
    <row r="105" spans="1:16" x14ac:dyDescent="0.35">
      <c r="A105">
        <v>104</v>
      </c>
      <c r="B105" t="s">
        <v>202</v>
      </c>
      <c r="C105" s="4" t="s">
        <v>213</v>
      </c>
      <c r="D105">
        <v>10</v>
      </c>
      <c r="E105" t="s">
        <v>37</v>
      </c>
      <c r="F105" s="2">
        <v>45935</v>
      </c>
      <c r="G105" s="3">
        <v>46447</v>
      </c>
      <c r="H105" s="20">
        <v>85.718181818181819</v>
      </c>
      <c r="I105" s="20">
        <v>123.75</v>
      </c>
      <c r="J105" s="20">
        <v>94.29</v>
      </c>
      <c r="K105" s="20">
        <v>914.61</v>
      </c>
      <c r="L105" s="23">
        <v>2.5</v>
      </c>
      <c r="M105" s="20">
        <v>22.87</v>
      </c>
      <c r="N105" s="23">
        <v>2.5</v>
      </c>
      <c r="O105" s="20">
        <v>22.87</v>
      </c>
      <c r="P105" s="20">
        <v>960.35</v>
      </c>
    </row>
    <row r="106" spans="1:16" x14ac:dyDescent="0.35">
      <c r="A106">
        <v>105</v>
      </c>
      <c r="B106" t="s">
        <v>203</v>
      </c>
      <c r="C106" s="4" t="s">
        <v>215</v>
      </c>
      <c r="D106">
        <v>9</v>
      </c>
      <c r="E106" t="s">
        <v>37</v>
      </c>
      <c r="F106" s="2">
        <v>45935</v>
      </c>
      <c r="G106" s="3">
        <v>46508</v>
      </c>
      <c r="H106" s="20">
        <v>39.218181818181819</v>
      </c>
      <c r="I106" s="20">
        <v>56.62</v>
      </c>
      <c r="J106" s="20">
        <v>43.14</v>
      </c>
      <c r="K106" s="20">
        <v>376.61</v>
      </c>
      <c r="L106" s="23">
        <v>2.5</v>
      </c>
      <c r="M106" s="20">
        <v>9.42</v>
      </c>
      <c r="N106" s="23">
        <v>2.5</v>
      </c>
      <c r="O106" s="20">
        <v>9.42</v>
      </c>
      <c r="P106" s="20">
        <v>395.45</v>
      </c>
    </row>
    <row r="107" spans="1:16" x14ac:dyDescent="0.35">
      <c r="A107">
        <v>106</v>
      </c>
      <c r="B107" t="s">
        <v>204</v>
      </c>
      <c r="C107" s="4" t="s">
        <v>216</v>
      </c>
      <c r="D107">
        <v>3</v>
      </c>
      <c r="E107" t="s">
        <v>37</v>
      </c>
      <c r="F107" s="2">
        <v>45935</v>
      </c>
      <c r="G107" s="3">
        <v>46569</v>
      </c>
      <c r="H107" s="20">
        <v>35.627272727272725</v>
      </c>
      <c r="I107" s="20">
        <v>48.98</v>
      </c>
      <c r="J107" s="20">
        <v>39.19</v>
      </c>
      <c r="K107" s="20">
        <v>115.22</v>
      </c>
      <c r="L107" s="23">
        <v>2.5</v>
      </c>
      <c r="M107" s="20">
        <v>2.88</v>
      </c>
      <c r="N107" s="23">
        <v>2.5</v>
      </c>
      <c r="O107" s="20">
        <v>2.88</v>
      </c>
      <c r="P107" s="20">
        <v>120.98</v>
      </c>
    </row>
    <row r="108" spans="1:16" x14ac:dyDescent="0.35">
      <c r="A108">
        <v>107</v>
      </c>
      <c r="B108" t="s">
        <v>217</v>
      </c>
      <c r="C108" s="4" t="s">
        <v>218</v>
      </c>
      <c r="D108">
        <v>1</v>
      </c>
      <c r="E108" t="s">
        <v>134</v>
      </c>
      <c r="F108" s="2">
        <v>45935</v>
      </c>
      <c r="G108" s="3">
        <v>46569</v>
      </c>
      <c r="H108" s="20">
        <v>95.609090909090909</v>
      </c>
      <c r="I108" s="20">
        <v>131.46</v>
      </c>
      <c r="J108" s="20">
        <v>105.17</v>
      </c>
      <c r="K108" s="20">
        <v>103.08</v>
      </c>
      <c r="L108" s="23">
        <v>2.5</v>
      </c>
      <c r="M108" s="20">
        <v>2.5750000000000002</v>
      </c>
      <c r="N108" s="23">
        <v>2.5</v>
      </c>
      <c r="O108" s="20">
        <v>2.5750000000000002</v>
      </c>
      <c r="P108" s="20">
        <v>108.23</v>
      </c>
    </row>
    <row r="109" spans="1:16" x14ac:dyDescent="0.35">
      <c r="A109">
        <v>108</v>
      </c>
      <c r="B109" t="s">
        <v>219</v>
      </c>
      <c r="C109" s="4" t="s">
        <v>220</v>
      </c>
      <c r="D109">
        <v>10</v>
      </c>
      <c r="E109" t="s">
        <v>134</v>
      </c>
      <c r="F109" s="2">
        <v>45935</v>
      </c>
      <c r="G109" s="3">
        <v>46508</v>
      </c>
      <c r="H109" s="20">
        <v>120.12727272727271</v>
      </c>
      <c r="I109" s="20">
        <v>173.44</v>
      </c>
      <c r="J109" s="20">
        <v>132.13999999999999</v>
      </c>
      <c r="K109" s="20">
        <v>68.05</v>
      </c>
      <c r="L109" s="23">
        <v>2.5</v>
      </c>
      <c r="M109" s="20">
        <v>32.045000000000002</v>
      </c>
      <c r="N109" s="23">
        <v>2.5</v>
      </c>
      <c r="O109" s="20">
        <v>32.045000000000002</v>
      </c>
      <c r="P109" s="20">
        <v>1345.84</v>
      </c>
    </row>
    <row r="110" spans="1:16" x14ac:dyDescent="0.35">
      <c r="A110">
        <v>109</v>
      </c>
      <c r="B110" t="s">
        <v>221</v>
      </c>
      <c r="C110" s="4" t="s">
        <v>222</v>
      </c>
      <c r="D110">
        <v>1</v>
      </c>
      <c r="E110" t="s">
        <v>131</v>
      </c>
      <c r="F110" s="2">
        <v>45935</v>
      </c>
      <c r="G110" s="3">
        <v>46478</v>
      </c>
      <c r="H110" s="20">
        <v>239.75454545454545</v>
      </c>
      <c r="I110" s="20">
        <v>389</v>
      </c>
      <c r="J110" s="20">
        <v>263.73</v>
      </c>
      <c r="K110" s="20">
        <v>255.82</v>
      </c>
      <c r="L110" s="23">
        <v>9</v>
      </c>
      <c r="M110" s="20">
        <v>23.02</v>
      </c>
      <c r="N110" s="23">
        <v>9</v>
      </c>
      <c r="O110" s="20">
        <v>23.02</v>
      </c>
      <c r="P110" s="20">
        <v>301.86</v>
      </c>
    </row>
    <row r="111" spans="1:16" x14ac:dyDescent="0.35">
      <c r="A111">
        <v>110</v>
      </c>
      <c r="B111" t="s">
        <v>223</v>
      </c>
      <c r="C111" s="4" t="s">
        <v>224</v>
      </c>
      <c r="D111">
        <v>4</v>
      </c>
      <c r="E111" t="s">
        <v>131</v>
      </c>
      <c r="F111" s="2">
        <v>45935</v>
      </c>
      <c r="G111" s="3">
        <v>47150</v>
      </c>
      <c r="H111" s="20">
        <v>138.40909090909091</v>
      </c>
      <c r="I111" s="20">
        <v>213.15</v>
      </c>
      <c r="J111" s="20">
        <v>152.25</v>
      </c>
      <c r="K111" s="20">
        <v>590.73</v>
      </c>
      <c r="L111" s="23">
        <v>2.5</v>
      </c>
      <c r="M111" s="20">
        <v>14.77</v>
      </c>
      <c r="N111" s="23">
        <v>2.5</v>
      </c>
      <c r="O111" s="20">
        <v>14.77</v>
      </c>
      <c r="P111" s="20">
        <v>620.27</v>
      </c>
    </row>
    <row r="112" spans="1:16" x14ac:dyDescent="0.35">
      <c r="A112">
        <v>111</v>
      </c>
      <c r="B112" t="s">
        <v>225</v>
      </c>
      <c r="C112" s="4" t="s">
        <v>228</v>
      </c>
      <c r="D112">
        <v>4</v>
      </c>
      <c r="E112" t="s">
        <v>131</v>
      </c>
      <c r="F112" s="2">
        <v>45935</v>
      </c>
      <c r="G112" s="3">
        <v>46508</v>
      </c>
      <c r="H112" s="20">
        <v>13.218181818181817</v>
      </c>
      <c r="I112" s="20">
        <v>20.350000000000001</v>
      </c>
      <c r="J112" s="20">
        <v>14.54</v>
      </c>
      <c r="K112" s="20">
        <v>56.42</v>
      </c>
      <c r="L112" s="23">
        <v>2.5</v>
      </c>
      <c r="M112" s="20">
        <v>1.41</v>
      </c>
      <c r="N112" s="23">
        <v>2.5</v>
      </c>
      <c r="O112" s="20">
        <v>1.41</v>
      </c>
      <c r="P112" s="20">
        <v>59.24</v>
      </c>
    </row>
    <row r="113" spans="1:16" x14ac:dyDescent="0.35">
      <c r="A113">
        <v>112</v>
      </c>
      <c r="B113" t="s">
        <v>226</v>
      </c>
      <c r="C113" s="4" t="s">
        <v>229</v>
      </c>
      <c r="D113">
        <v>2</v>
      </c>
      <c r="E113" t="s">
        <v>131</v>
      </c>
      <c r="F113" s="2">
        <v>45935</v>
      </c>
      <c r="G113" s="3">
        <v>46539</v>
      </c>
      <c r="H113" s="20">
        <v>72.72727272727272</v>
      </c>
      <c r="I113" s="20">
        <v>112</v>
      </c>
      <c r="J113" s="20">
        <v>80</v>
      </c>
      <c r="K113" s="20">
        <v>155.19999999999999</v>
      </c>
      <c r="L113" s="23">
        <v>2.5</v>
      </c>
      <c r="M113" s="20">
        <v>3.88</v>
      </c>
      <c r="N113" s="23">
        <v>2.5</v>
      </c>
      <c r="O113" s="20">
        <v>3.88</v>
      </c>
      <c r="P113" s="20">
        <v>162.96</v>
      </c>
    </row>
    <row r="114" spans="1:16" x14ac:dyDescent="0.35">
      <c r="A114">
        <v>113</v>
      </c>
      <c r="B114" t="s">
        <v>227</v>
      </c>
      <c r="C114" s="4" t="s">
        <v>230</v>
      </c>
      <c r="D114">
        <v>10</v>
      </c>
      <c r="E114" t="s">
        <v>131</v>
      </c>
      <c r="F114" s="2">
        <v>45935</v>
      </c>
      <c r="G114" s="3">
        <v>46204</v>
      </c>
      <c r="H114" s="20">
        <v>11.918181818181816</v>
      </c>
      <c r="I114" s="20">
        <v>47.64</v>
      </c>
      <c r="J114" s="20">
        <v>13.11</v>
      </c>
      <c r="K114" s="20">
        <v>131.1</v>
      </c>
      <c r="L114" s="23">
        <v>2.5</v>
      </c>
      <c r="M114" s="20">
        <v>3.28</v>
      </c>
      <c r="N114" s="23">
        <v>2.5</v>
      </c>
      <c r="O114" s="20">
        <v>3.28</v>
      </c>
      <c r="P114" s="20">
        <v>137.66</v>
      </c>
    </row>
    <row r="115" spans="1:16" x14ac:dyDescent="0.35">
      <c r="A115">
        <v>114</v>
      </c>
      <c r="B115" t="s">
        <v>231</v>
      </c>
      <c r="C115" s="4" t="s">
        <v>235</v>
      </c>
      <c r="D115">
        <v>133</v>
      </c>
      <c r="E115" t="s">
        <v>131</v>
      </c>
      <c r="F115" s="2">
        <v>45935</v>
      </c>
      <c r="G115" s="3">
        <v>46844</v>
      </c>
      <c r="H115" s="20">
        <v>4.545454545454545</v>
      </c>
      <c r="I115" s="20">
        <v>20.05</v>
      </c>
      <c r="J115" s="20">
        <v>5</v>
      </c>
      <c r="K115" s="20">
        <v>665</v>
      </c>
      <c r="L115" s="23">
        <v>2.5</v>
      </c>
      <c r="M115" s="20">
        <v>16.63</v>
      </c>
      <c r="N115" s="23">
        <v>2.5</v>
      </c>
      <c r="O115" s="20">
        <v>16.63</v>
      </c>
      <c r="P115" s="20">
        <v>698.26</v>
      </c>
    </row>
    <row r="116" spans="1:16" x14ac:dyDescent="0.35">
      <c r="A116">
        <v>115</v>
      </c>
      <c r="B116" t="s">
        <v>232</v>
      </c>
      <c r="C116" s="4" t="s">
        <v>236</v>
      </c>
      <c r="D116">
        <v>38</v>
      </c>
      <c r="E116" t="s">
        <v>131</v>
      </c>
      <c r="F116" s="2">
        <v>45935</v>
      </c>
      <c r="G116" s="3">
        <v>46813</v>
      </c>
      <c r="H116" s="20">
        <v>10.909090909090908</v>
      </c>
      <c r="I116" s="20">
        <v>61.03</v>
      </c>
      <c r="J116" s="20">
        <v>12</v>
      </c>
      <c r="K116" s="20">
        <v>456</v>
      </c>
      <c r="L116" s="23">
        <v>2.5</v>
      </c>
      <c r="M116" s="20">
        <v>11.4</v>
      </c>
      <c r="N116" s="23">
        <v>2.5</v>
      </c>
      <c r="O116" s="20">
        <v>11.4</v>
      </c>
      <c r="P116" s="20">
        <v>478.8</v>
      </c>
    </row>
    <row r="117" spans="1:16" x14ac:dyDescent="0.35">
      <c r="A117">
        <v>116</v>
      </c>
      <c r="B117" t="s">
        <v>233</v>
      </c>
      <c r="C117" s="4" t="s">
        <v>237</v>
      </c>
      <c r="D117">
        <v>38</v>
      </c>
      <c r="E117" t="s">
        <v>131</v>
      </c>
      <c r="F117" s="2">
        <v>45935</v>
      </c>
      <c r="G117" s="3">
        <v>46388</v>
      </c>
      <c r="H117" s="20">
        <v>38.636363636363633</v>
      </c>
      <c r="I117" s="20">
        <v>142.25</v>
      </c>
      <c r="J117" s="20">
        <v>42.5</v>
      </c>
      <c r="K117" s="20">
        <v>1615</v>
      </c>
      <c r="L117" s="23">
        <v>2.5</v>
      </c>
      <c r="M117" s="20">
        <v>40.380000000000003</v>
      </c>
      <c r="N117" s="23">
        <v>2.5</v>
      </c>
      <c r="O117" s="20">
        <v>40.380000000000003</v>
      </c>
      <c r="P117" s="20">
        <v>1695.76</v>
      </c>
    </row>
    <row r="118" spans="1:16" x14ac:dyDescent="0.35">
      <c r="A118">
        <v>117</v>
      </c>
      <c r="B118" t="s">
        <v>234</v>
      </c>
      <c r="C118" s="4" t="s">
        <v>238</v>
      </c>
      <c r="D118">
        <v>5</v>
      </c>
      <c r="E118" t="s">
        <v>131</v>
      </c>
      <c r="F118" s="2">
        <v>45935</v>
      </c>
      <c r="G118" s="3">
        <v>46874</v>
      </c>
      <c r="H118" s="20">
        <v>122.03636363636363</v>
      </c>
      <c r="I118" s="20">
        <v>176.19</v>
      </c>
      <c r="J118" s="20">
        <v>134.24</v>
      </c>
      <c r="K118" s="20">
        <v>651.05999999999995</v>
      </c>
      <c r="L118" s="23">
        <v>2.5</v>
      </c>
      <c r="M118" s="20">
        <v>16.28</v>
      </c>
      <c r="N118" s="23">
        <v>2.5</v>
      </c>
      <c r="O118" s="20">
        <v>16.28</v>
      </c>
      <c r="P118" s="20">
        <v>683.62</v>
      </c>
    </row>
    <row r="119" spans="1:16" x14ac:dyDescent="0.35">
      <c r="A119">
        <v>118</v>
      </c>
      <c r="B119" t="s">
        <v>239</v>
      </c>
      <c r="C119" s="4" t="s">
        <v>240</v>
      </c>
      <c r="D119">
        <v>2</v>
      </c>
      <c r="E119" t="s">
        <v>131</v>
      </c>
      <c r="F119" s="2">
        <v>45936</v>
      </c>
      <c r="G119" s="3">
        <v>46478</v>
      </c>
      <c r="H119" s="20">
        <v>182.46363636363637</v>
      </c>
      <c r="I119" s="20">
        <v>263.44</v>
      </c>
      <c r="J119" s="20">
        <v>200.71</v>
      </c>
      <c r="K119" s="20">
        <v>389.38</v>
      </c>
      <c r="L119" s="23">
        <v>2.5</v>
      </c>
      <c r="M119" s="20">
        <v>9.73</v>
      </c>
      <c r="N119" s="23">
        <v>2.5</v>
      </c>
      <c r="O119" s="20">
        <v>9.73</v>
      </c>
      <c r="P119" s="20">
        <v>408.84</v>
      </c>
    </row>
    <row r="120" spans="1:16" x14ac:dyDescent="0.35">
      <c r="A120">
        <v>119</v>
      </c>
      <c r="B120" t="s">
        <v>241</v>
      </c>
      <c r="C120" s="4" t="s">
        <v>250</v>
      </c>
      <c r="D120">
        <v>1</v>
      </c>
      <c r="E120" t="s">
        <v>131</v>
      </c>
      <c r="F120" s="2">
        <v>45936</v>
      </c>
      <c r="G120" s="3">
        <v>46844</v>
      </c>
      <c r="H120" s="20">
        <v>308.44545454545454</v>
      </c>
      <c r="I120" s="20">
        <v>445.31</v>
      </c>
      <c r="J120" s="20">
        <v>339.29</v>
      </c>
      <c r="K120" s="20">
        <v>329.11</v>
      </c>
      <c r="L120" s="23">
        <v>2.5</v>
      </c>
      <c r="M120" s="20">
        <v>8.23</v>
      </c>
      <c r="N120" s="23">
        <v>2.5</v>
      </c>
      <c r="O120" s="20">
        <v>8.23</v>
      </c>
      <c r="P120" s="20">
        <v>345.57</v>
      </c>
    </row>
    <row r="121" spans="1:16" x14ac:dyDescent="0.35">
      <c r="A121">
        <v>120</v>
      </c>
      <c r="B121" t="s">
        <v>242</v>
      </c>
      <c r="C121" s="4" t="s">
        <v>251</v>
      </c>
      <c r="D121">
        <v>1</v>
      </c>
      <c r="E121" t="s">
        <v>131</v>
      </c>
      <c r="F121" s="2">
        <v>45936</v>
      </c>
      <c r="G121" s="3">
        <v>46508</v>
      </c>
      <c r="H121" s="20">
        <v>457.85454545454542</v>
      </c>
      <c r="I121" s="20">
        <v>661.03</v>
      </c>
      <c r="J121" s="20">
        <v>503.64</v>
      </c>
      <c r="K121" s="20">
        <v>488.53</v>
      </c>
      <c r="L121" s="23">
        <v>2.5</v>
      </c>
      <c r="M121" s="20">
        <v>12.21</v>
      </c>
      <c r="N121" s="23">
        <v>2.5</v>
      </c>
      <c r="O121" s="20">
        <v>12.21</v>
      </c>
      <c r="P121" s="20">
        <v>512.95000000000005</v>
      </c>
    </row>
    <row r="122" spans="1:16" x14ac:dyDescent="0.35">
      <c r="A122">
        <v>121</v>
      </c>
      <c r="B122" t="s">
        <v>243</v>
      </c>
      <c r="C122" s="4" t="s">
        <v>252</v>
      </c>
      <c r="D122">
        <v>1</v>
      </c>
      <c r="E122" t="s">
        <v>131</v>
      </c>
      <c r="F122" s="2">
        <v>45936</v>
      </c>
      <c r="G122" s="3">
        <v>46844</v>
      </c>
      <c r="H122" s="20">
        <v>47.063636363636363</v>
      </c>
      <c r="I122" s="20">
        <v>127.24</v>
      </c>
      <c r="J122" s="20">
        <v>51.77</v>
      </c>
      <c r="K122" s="20">
        <v>51.77</v>
      </c>
      <c r="L122" s="23">
        <v>2.5</v>
      </c>
      <c r="M122" s="20">
        <v>1.29</v>
      </c>
      <c r="N122" s="23">
        <v>2.5</v>
      </c>
      <c r="O122" s="20">
        <v>1.29</v>
      </c>
      <c r="P122" s="20">
        <v>54.35</v>
      </c>
    </row>
    <row r="123" spans="1:16" x14ac:dyDescent="0.35">
      <c r="A123">
        <v>122</v>
      </c>
      <c r="B123" t="s">
        <v>244</v>
      </c>
      <c r="C123" s="4" t="s">
        <v>253</v>
      </c>
      <c r="D123">
        <v>5</v>
      </c>
      <c r="E123" t="s">
        <v>131</v>
      </c>
      <c r="F123" s="2">
        <v>45936</v>
      </c>
      <c r="G123" s="3">
        <v>46478</v>
      </c>
      <c r="H123" s="20">
        <v>86.75454545454545</v>
      </c>
      <c r="I123" s="20">
        <v>125.25</v>
      </c>
      <c r="J123" s="20">
        <v>95.43</v>
      </c>
      <c r="K123" s="20">
        <v>462.84</v>
      </c>
      <c r="L123" s="23">
        <v>2.5</v>
      </c>
      <c r="M123" s="20">
        <v>11.57</v>
      </c>
      <c r="N123" s="23">
        <v>2.5</v>
      </c>
      <c r="O123" s="20">
        <v>11.57</v>
      </c>
      <c r="P123" s="20">
        <v>485.98</v>
      </c>
    </row>
    <row r="124" spans="1:16" x14ac:dyDescent="0.35">
      <c r="A124">
        <v>123</v>
      </c>
      <c r="B124" t="s">
        <v>245</v>
      </c>
      <c r="C124" s="4" t="s">
        <v>254</v>
      </c>
      <c r="D124">
        <v>3</v>
      </c>
      <c r="E124" t="s">
        <v>131</v>
      </c>
      <c r="F124" s="2">
        <v>45936</v>
      </c>
      <c r="G124" s="3">
        <v>46905</v>
      </c>
      <c r="H124" s="20">
        <v>111.99090909090908</v>
      </c>
      <c r="I124" s="20">
        <v>161.69</v>
      </c>
      <c r="J124" s="20">
        <v>123.19</v>
      </c>
      <c r="K124" s="20">
        <v>358.48</v>
      </c>
      <c r="L124" s="23">
        <v>2.5</v>
      </c>
      <c r="M124" s="20">
        <v>8.9600000000000009</v>
      </c>
      <c r="N124" s="23">
        <v>2.5</v>
      </c>
      <c r="O124" s="20">
        <v>8.9600000000000009</v>
      </c>
      <c r="P124" s="20">
        <v>376.4</v>
      </c>
    </row>
    <row r="125" spans="1:16" x14ac:dyDescent="0.35">
      <c r="A125">
        <v>124</v>
      </c>
      <c r="B125" t="s">
        <v>204</v>
      </c>
      <c r="C125" s="4" t="s">
        <v>255</v>
      </c>
      <c r="D125">
        <v>2</v>
      </c>
      <c r="E125" t="s">
        <v>131</v>
      </c>
      <c r="F125" s="2">
        <v>45936</v>
      </c>
      <c r="G125" s="3">
        <v>46357</v>
      </c>
      <c r="H125" s="20">
        <v>132.68181818181816</v>
      </c>
      <c r="I125" s="20">
        <v>182.44</v>
      </c>
      <c r="J125" s="20">
        <v>145.94999999999999</v>
      </c>
      <c r="K125" s="20">
        <v>286.06</v>
      </c>
      <c r="L125" s="23">
        <v>2.5</v>
      </c>
      <c r="M125" s="20">
        <v>7.15</v>
      </c>
      <c r="N125" s="23">
        <v>2.5</v>
      </c>
      <c r="O125" s="20">
        <v>7.15</v>
      </c>
      <c r="P125" s="20">
        <v>300.36</v>
      </c>
    </row>
    <row r="126" spans="1:16" x14ac:dyDescent="0.35">
      <c r="A126">
        <v>125</v>
      </c>
      <c r="B126" t="s">
        <v>246</v>
      </c>
      <c r="C126" s="4" t="s">
        <v>256</v>
      </c>
      <c r="D126">
        <v>4</v>
      </c>
      <c r="E126" t="s">
        <v>131</v>
      </c>
      <c r="F126" s="2">
        <v>45936</v>
      </c>
      <c r="G126" s="3">
        <v>46722</v>
      </c>
      <c r="H126" s="20">
        <v>145.22727272727272</v>
      </c>
      <c r="I126" s="20">
        <v>199.69</v>
      </c>
      <c r="J126" s="20">
        <v>159.75</v>
      </c>
      <c r="K126" s="20">
        <v>626.22</v>
      </c>
      <c r="L126" s="23">
        <v>2.5</v>
      </c>
      <c r="M126" s="20">
        <v>15.66</v>
      </c>
      <c r="N126" s="23">
        <v>2.5</v>
      </c>
      <c r="O126" s="20">
        <v>15.66</v>
      </c>
      <c r="P126" s="20">
        <v>657.54</v>
      </c>
    </row>
    <row r="127" spans="1:16" x14ac:dyDescent="0.35">
      <c r="A127">
        <v>126</v>
      </c>
      <c r="B127" t="s">
        <v>247</v>
      </c>
      <c r="C127" s="4" t="s">
        <v>257</v>
      </c>
      <c r="D127">
        <v>30</v>
      </c>
      <c r="E127" t="s">
        <v>131</v>
      </c>
      <c r="F127" s="2">
        <v>45936</v>
      </c>
      <c r="G127" s="3">
        <v>46478</v>
      </c>
      <c r="H127" s="20">
        <v>5.1090909090909085</v>
      </c>
      <c r="I127" s="20">
        <v>7.38</v>
      </c>
      <c r="J127" s="20">
        <v>5.62</v>
      </c>
      <c r="K127" s="20">
        <v>163.54</v>
      </c>
      <c r="L127" s="23">
        <v>2.5</v>
      </c>
      <c r="M127" s="20">
        <v>4.09</v>
      </c>
      <c r="N127" s="23">
        <v>2.5</v>
      </c>
      <c r="O127" s="20">
        <v>4.09</v>
      </c>
      <c r="P127" s="20">
        <v>171.72</v>
      </c>
    </row>
    <row r="128" spans="1:16" x14ac:dyDescent="0.35">
      <c r="A128">
        <v>127</v>
      </c>
      <c r="B128" t="s">
        <v>248</v>
      </c>
      <c r="C128" s="4" t="s">
        <v>259</v>
      </c>
      <c r="D128">
        <v>2</v>
      </c>
      <c r="E128" t="s">
        <v>131</v>
      </c>
      <c r="F128" s="2">
        <v>45936</v>
      </c>
      <c r="G128" s="3">
        <v>46357</v>
      </c>
      <c r="H128" s="20">
        <v>90.272727272727266</v>
      </c>
      <c r="I128" s="20">
        <v>130.31</v>
      </c>
      <c r="J128" s="20">
        <v>99.3</v>
      </c>
      <c r="K128" s="20">
        <v>192.64</v>
      </c>
      <c r="L128" s="23">
        <v>2.5</v>
      </c>
      <c r="M128" s="20">
        <v>4.82</v>
      </c>
      <c r="N128" s="23">
        <v>2.5</v>
      </c>
      <c r="O128" s="20">
        <v>4.82</v>
      </c>
      <c r="P128" s="20">
        <v>202.28</v>
      </c>
    </row>
    <row r="129" spans="1:16" x14ac:dyDescent="0.35">
      <c r="A129">
        <v>128</v>
      </c>
      <c r="B129" t="s">
        <v>249</v>
      </c>
      <c r="C129" s="4" t="s">
        <v>258</v>
      </c>
      <c r="D129">
        <v>2</v>
      </c>
      <c r="E129" t="s">
        <v>131</v>
      </c>
      <c r="F129" s="2">
        <v>45936</v>
      </c>
      <c r="G129" s="3">
        <v>46508</v>
      </c>
      <c r="H129" s="20">
        <v>74.345454545454544</v>
      </c>
      <c r="I129" s="20">
        <v>107.34</v>
      </c>
      <c r="J129" s="20">
        <v>81.78</v>
      </c>
      <c r="K129" s="20">
        <v>132.21</v>
      </c>
      <c r="L129" s="23">
        <v>2.5</v>
      </c>
      <c r="M129" s="20">
        <v>3.31</v>
      </c>
      <c r="N129" s="23">
        <v>2.5</v>
      </c>
      <c r="O129" s="20">
        <v>3.31</v>
      </c>
      <c r="P129" s="20">
        <v>138.83000000000001</v>
      </c>
    </row>
    <row r="130" spans="1:16" x14ac:dyDescent="0.35">
      <c r="A130">
        <v>129</v>
      </c>
      <c r="B130" t="s">
        <v>260</v>
      </c>
      <c r="C130" s="4" t="s">
        <v>269</v>
      </c>
      <c r="D130">
        <v>1</v>
      </c>
      <c r="E130" t="s">
        <v>95</v>
      </c>
      <c r="F130" s="2">
        <v>45936</v>
      </c>
      <c r="G130" s="3">
        <v>46569</v>
      </c>
      <c r="H130" s="20">
        <v>766.23636363636354</v>
      </c>
      <c r="I130" s="20">
        <v>1106.25</v>
      </c>
      <c r="J130" s="20">
        <v>842.86</v>
      </c>
      <c r="K130" s="20">
        <v>817.57</v>
      </c>
      <c r="L130" s="23">
        <v>2.5</v>
      </c>
      <c r="M130" s="20">
        <v>20.440000000000001</v>
      </c>
      <c r="N130" s="23">
        <v>2.5</v>
      </c>
      <c r="O130" s="20">
        <v>20.440000000000001</v>
      </c>
      <c r="P130" s="20">
        <v>858.45</v>
      </c>
    </row>
    <row r="131" spans="1:16" x14ac:dyDescent="0.35">
      <c r="A131">
        <v>130</v>
      </c>
      <c r="B131" t="s">
        <v>261</v>
      </c>
      <c r="C131" s="4" t="s">
        <v>270</v>
      </c>
      <c r="D131">
        <v>1</v>
      </c>
      <c r="E131" t="s">
        <v>95</v>
      </c>
      <c r="F131" s="2">
        <v>45936</v>
      </c>
      <c r="G131" s="3">
        <v>46419</v>
      </c>
      <c r="H131" s="20">
        <v>185.07272727272726</v>
      </c>
      <c r="I131" s="20">
        <v>267.19</v>
      </c>
      <c r="J131" s="20">
        <v>203.58</v>
      </c>
      <c r="K131" s="20">
        <v>197.47</v>
      </c>
      <c r="L131" s="23">
        <v>2.5</v>
      </c>
      <c r="M131" s="20">
        <v>4.9400000000000004</v>
      </c>
      <c r="N131" s="23">
        <v>2.5</v>
      </c>
      <c r="O131" s="20">
        <v>4.9400000000000004</v>
      </c>
      <c r="P131" s="20">
        <v>207.35</v>
      </c>
    </row>
    <row r="132" spans="1:16" x14ac:dyDescent="0.35">
      <c r="A132">
        <v>131</v>
      </c>
      <c r="B132" t="s">
        <v>262</v>
      </c>
      <c r="C132" s="4" t="s">
        <v>271</v>
      </c>
      <c r="D132">
        <v>2</v>
      </c>
      <c r="E132" t="s">
        <v>95</v>
      </c>
      <c r="F132" s="2">
        <v>45936</v>
      </c>
      <c r="G132" s="3">
        <v>46478</v>
      </c>
      <c r="H132" s="20">
        <v>97.399999999999991</v>
      </c>
      <c r="I132" s="20">
        <v>271.88</v>
      </c>
      <c r="J132" s="20">
        <v>107.14</v>
      </c>
      <c r="K132" s="20">
        <v>401.85</v>
      </c>
      <c r="L132" s="23">
        <v>2.5</v>
      </c>
      <c r="M132" s="20">
        <v>10.050000000000001</v>
      </c>
      <c r="N132" s="23">
        <v>2.5</v>
      </c>
      <c r="O132" s="20">
        <v>10.050000000000001</v>
      </c>
      <c r="P132" s="20">
        <v>421.95</v>
      </c>
    </row>
    <row r="133" spans="1:16" x14ac:dyDescent="0.35">
      <c r="A133">
        <v>132</v>
      </c>
      <c r="B133" t="s">
        <v>263</v>
      </c>
      <c r="C133" s="4" t="s">
        <v>272</v>
      </c>
      <c r="D133">
        <v>1</v>
      </c>
      <c r="E133" t="s">
        <v>95</v>
      </c>
      <c r="F133" s="2">
        <v>45936</v>
      </c>
      <c r="G133" s="3">
        <v>46478</v>
      </c>
      <c r="H133" s="20">
        <v>253.24545454545452</v>
      </c>
      <c r="I133" s="20">
        <v>365.63</v>
      </c>
      <c r="J133" s="20">
        <v>278.57</v>
      </c>
      <c r="K133" s="20">
        <v>270.20999999999998</v>
      </c>
      <c r="L133" s="23">
        <v>2.5</v>
      </c>
      <c r="M133" s="20">
        <v>6.76</v>
      </c>
      <c r="N133" s="23">
        <v>2.5</v>
      </c>
      <c r="O133" s="20">
        <v>6.76</v>
      </c>
      <c r="P133" s="20">
        <v>283.73</v>
      </c>
    </row>
    <row r="134" spans="1:16" x14ac:dyDescent="0.35">
      <c r="A134">
        <v>133</v>
      </c>
      <c r="B134" t="s">
        <v>264</v>
      </c>
      <c r="C134" s="4" t="s">
        <v>273</v>
      </c>
      <c r="D134">
        <v>2</v>
      </c>
      <c r="E134" t="s">
        <v>95</v>
      </c>
      <c r="F134" s="2">
        <v>45936</v>
      </c>
      <c r="G134" s="3">
        <v>46539</v>
      </c>
      <c r="H134" s="20">
        <v>139.37272727272727</v>
      </c>
      <c r="I134" s="20">
        <v>201.22</v>
      </c>
      <c r="J134" s="20">
        <v>153.31</v>
      </c>
      <c r="K134" s="20">
        <v>297.42</v>
      </c>
      <c r="L134" s="23">
        <v>2.5</v>
      </c>
      <c r="M134" s="20">
        <v>7.44</v>
      </c>
      <c r="N134" s="23">
        <v>2.5</v>
      </c>
      <c r="O134" s="20">
        <v>7.44</v>
      </c>
      <c r="P134" s="20">
        <v>312.3</v>
      </c>
    </row>
    <row r="135" spans="1:16" x14ac:dyDescent="0.35">
      <c r="A135">
        <v>134</v>
      </c>
      <c r="B135" t="s">
        <v>262</v>
      </c>
      <c r="C135" s="4" t="s">
        <v>274</v>
      </c>
      <c r="D135">
        <v>1</v>
      </c>
      <c r="E135" t="s">
        <v>95</v>
      </c>
      <c r="F135" s="2">
        <v>45936</v>
      </c>
      <c r="G135" s="3">
        <v>46478</v>
      </c>
      <c r="H135" s="20">
        <v>383.09999999999997</v>
      </c>
      <c r="I135" s="20">
        <v>553.1</v>
      </c>
      <c r="J135" s="20">
        <v>421.41</v>
      </c>
      <c r="K135" s="20">
        <v>408.77</v>
      </c>
      <c r="L135" s="23">
        <v>2.5</v>
      </c>
      <c r="M135" s="20">
        <v>10.220000000000001</v>
      </c>
      <c r="N135" s="23">
        <v>2.5</v>
      </c>
      <c r="O135" s="20">
        <v>10.220000000000001</v>
      </c>
      <c r="P135" s="20">
        <v>429.21</v>
      </c>
    </row>
    <row r="136" spans="1:16" x14ac:dyDescent="0.35">
      <c r="A136">
        <v>135</v>
      </c>
      <c r="B136" t="s">
        <v>265</v>
      </c>
      <c r="C136" s="4" t="s">
        <v>275</v>
      </c>
      <c r="D136">
        <v>10</v>
      </c>
      <c r="E136" t="s">
        <v>95</v>
      </c>
      <c r="F136" s="2">
        <v>45936</v>
      </c>
      <c r="G136" s="3">
        <v>46569</v>
      </c>
      <c r="H136" s="20">
        <v>393.83636363636361</v>
      </c>
      <c r="I136" s="20">
        <v>568.6</v>
      </c>
      <c r="J136" s="20">
        <v>433.22</v>
      </c>
      <c r="K136" s="20">
        <v>4202.2299999999996</v>
      </c>
      <c r="L136" s="23">
        <v>2.5</v>
      </c>
      <c r="M136" s="20">
        <v>105.06</v>
      </c>
      <c r="N136" s="23">
        <v>2.5</v>
      </c>
      <c r="O136" s="20">
        <v>105.06</v>
      </c>
      <c r="P136" s="20">
        <v>4412.3500000000004</v>
      </c>
    </row>
    <row r="137" spans="1:16" x14ac:dyDescent="0.35">
      <c r="A137">
        <v>136</v>
      </c>
      <c r="B137" t="s">
        <v>266</v>
      </c>
      <c r="C137" s="4" t="s">
        <v>276</v>
      </c>
      <c r="D137">
        <v>5</v>
      </c>
      <c r="E137" t="s">
        <v>95</v>
      </c>
      <c r="F137" s="2">
        <v>45936</v>
      </c>
      <c r="G137" s="3">
        <v>46235</v>
      </c>
      <c r="H137" s="20">
        <v>32.418181818181814</v>
      </c>
      <c r="I137" s="20">
        <v>46.8</v>
      </c>
      <c r="J137" s="20">
        <v>35.659999999999997</v>
      </c>
      <c r="K137" s="20">
        <v>172.95</v>
      </c>
      <c r="L137" s="23">
        <v>2.5</v>
      </c>
      <c r="M137" s="20">
        <v>4.32</v>
      </c>
      <c r="N137" s="23">
        <v>2.5</v>
      </c>
      <c r="O137" s="20">
        <v>4.32</v>
      </c>
      <c r="P137" s="20">
        <v>181.59</v>
      </c>
    </row>
    <row r="138" spans="1:16" x14ac:dyDescent="0.35">
      <c r="A138">
        <v>137</v>
      </c>
      <c r="B138" t="s">
        <v>267</v>
      </c>
      <c r="C138" s="4" t="s">
        <v>277</v>
      </c>
      <c r="D138">
        <v>1</v>
      </c>
      <c r="E138" t="s">
        <v>95</v>
      </c>
      <c r="F138" s="2">
        <v>45936</v>
      </c>
      <c r="G138" s="3">
        <v>46204</v>
      </c>
      <c r="H138" s="20">
        <v>87.663636363636357</v>
      </c>
      <c r="I138" s="20">
        <v>126.56</v>
      </c>
      <c r="J138" s="20">
        <v>96.43</v>
      </c>
      <c r="K138" s="20">
        <v>93.54</v>
      </c>
      <c r="L138" s="23">
        <v>2.5</v>
      </c>
      <c r="M138" s="20">
        <v>2.34</v>
      </c>
      <c r="N138" s="23">
        <v>2.5</v>
      </c>
      <c r="O138" s="20">
        <v>2.34</v>
      </c>
      <c r="P138" s="20">
        <v>98.22</v>
      </c>
    </row>
    <row r="139" spans="1:16" x14ac:dyDescent="0.35">
      <c r="A139">
        <v>138</v>
      </c>
      <c r="B139" t="s">
        <v>268</v>
      </c>
      <c r="C139" s="4" t="s">
        <v>278</v>
      </c>
      <c r="D139">
        <v>1</v>
      </c>
      <c r="E139" t="s">
        <v>95</v>
      </c>
      <c r="F139" s="2">
        <v>45936</v>
      </c>
      <c r="G139" s="3">
        <v>46204</v>
      </c>
      <c r="H139" s="20">
        <v>110.93636363636362</v>
      </c>
      <c r="I139" s="20">
        <v>160.16999999999999</v>
      </c>
      <c r="J139" s="20">
        <v>122.03</v>
      </c>
      <c r="K139" s="20">
        <v>118.37</v>
      </c>
      <c r="L139" s="23">
        <v>2.5</v>
      </c>
      <c r="M139" s="20">
        <v>2.96</v>
      </c>
      <c r="N139" s="23">
        <v>2.5</v>
      </c>
      <c r="O139" s="20">
        <v>2.96</v>
      </c>
      <c r="P139" s="20">
        <v>124.29</v>
      </c>
    </row>
    <row r="140" spans="1:16" x14ac:dyDescent="0.35">
      <c r="A140">
        <v>139</v>
      </c>
      <c r="B140" t="s">
        <v>279</v>
      </c>
      <c r="C140" s="4" t="s">
        <v>291</v>
      </c>
      <c r="D140">
        <v>2</v>
      </c>
      <c r="E140" t="s">
        <v>37</v>
      </c>
      <c r="F140" s="2">
        <v>45936</v>
      </c>
      <c r="G140" s="3">
        <v>46874</v>
      </c>
      <c r="H140" s="20">
        <v>86.354545454545445</v>
      </c>
      <c r="I140" s="20">
        <v>124.68</v>
      </c>
      <c r="J140" s="20">
        <v>94.99</v>
      </c>
      <c r="K140" s="20">
        <v>184.28</v>
      </c>
      <c r="L140" s="23">
        <v>2.5</v>
      </c>
      <c r="M140" s="20">
        <v>4.6100000000000003</v>
      </c>
      <c r="N140" s="23">
        <v>2.5</v>
      </c>
      <c r="O140" s="20">
        <v>4.6100000000000003</v>
      </c>
      <c r="P140" s="20">
        <v>193.5</v>
      </c>
    </row>
    <row r="141" spans="1:16" x14ac:dyDescent="0.35">
      <c r="A141">
        <v>140</v>
      </c>
      <c r="B141" t="s">
        <v>280</v>
      </c>
      <c r="C141" s="4" t="s">
        <v>292</v>
      </c>
      <c r="D141">
        <v>3</v>
      </c>
      <c r="E141" t="s">
        <v>37</v>
      </c>
      <c r="F141" s="2">
        <v>45936</v>
      </c>
      <c r="G141" s="3">
        <v>46508</v>
      </c>
      <c r="H141" s="20">
        <v>259.09090909090907</v>
      </c>
      <c r="I141" s="20">
        <v>374.06</v>
      </c>
      <c r="J141" s="20">
        <v>285</v>
      </c>
      <c r="K141" s="20">
        <v>829.35</v>
      </c>
      <c r="L141" s="23">
        <v>2.5</v>
      </c>
      <c r="M141" s="20">
        <v>20.73</v>
      </c>
      <c r="N141" s="23">
        <v>2.5</v>
      </c>
      <c r="O141" s="20">
        <v>20.73</v>
      </c>
      <c r="P141" s="20">
        <v>870.81</v>
      </c>
    </row>
    <row r="142" spans="1:16" x14ac:dyDescent="0.35">
      <c r="A142">
        <v>141</v>
      </c>
      <c r="B142" t="s">
        <v>281</v>
      </c>
      <c r="C142" s="4" t="s">
        <v>293</v>
      </c>
      <c r="D142">
        <v>3</v>
      </c>
      <c r="E142" t="s">
        <v>37</v>
      </c>
      <c r="F142" s="2">
        <v>45936</v>
      </c>
      <c r="G142" s="3">
        <v>46844</v>
      </c>
      <c r="H142" s="20">
        <v>120.78181818181818</v>
      </c>
      <c r="I142" s="20">
        <v>174.38</v>
      </c>
      <c r="J142" s="20">
        <v>132.86000000000001</v>
      </c>
      <c r="K142" s="20">
        <v>386.62</v>
      </c>
      <c r="L142" s="23">
        <v>9</v>
      </c>
      <c r="M142" s="20">
        <v>9.67</v>
      </c>
      <c r="N142" s="23">
        <v>9</v>
      </c>
      <c r="O142" s="20">
        <v>9.67</v>
      </c>
      <c r="P142" s="20">
        <v>405.96</v>
      </c>
    </row>
    <row r="143" spans="1:16" x14ac:dyDescent="0.35">
      <c r="A143">
        <v>142</v>
      </c>
      <c r="B143" t="s">
        <v>282</v>
      </c>
      <c r="C143" s="4" t="s">
        <v>294</v>
      </c>
      <c r="D143">
        <v>1</v>
      </c>
      <c r="E143" t="s">
        <v>37</v>
      </c>
      <c r="F143" s="2">
        <v>45936</v>
      </c>
      <c r="G143" s="3">
        <v>46874</v>
      </c>
      <c r="H143" s="20">
        <v>425.27272727272725</v>
      </c>
      <c r="I143" s="20">
        <v>690</v>
      </c>
      <c r="J143" s="20">
        <v>467.8</v>
      </c>
      <c r="K143" s="20">
        <v>453.77</v>
      </c>
      <c r="L143" s="23">
        <v>2.5</v>
      </c>
      <c r="M143" s="20">
        <v>40.840000000000003</v>
      </c>
      <c r="N143" s="23">
        <v>2.5</v>
      </c>
      <c r="O143" s="20">
        <v>40.840000000000003</v>
      </c>
      <c r="P143" s="20">
        <v>535.45000000000005</v>
      </c>
    </row>
    <row r="144" spans="1:16" x14ac:dyDescent="0.35">
      <c r="A144">
        <v>143</v>
      </c>
      <c r="B144" t="s">
        <v>283</v>
      </c>
      <c r="C144" s="4" t="s">
        <v>295</v>
      </c>
      <c r="D144">
        <v>1</v>
      </c>
      <c r="E144" t="s">
        <v>37</v>
      </c>
      <c r="F144" s="2">
        <v>45936</v>
      </c>
      <c r="G144" s="3">
        <v>46508</v>
      </c>
      <c r="H144" s="20">
        <v>75.472727272727269</v>
      </c>
      <c r="I144" s="20">
        <v>108.96</v>
      </c>
      <c r="J144" s="20">
        <v>83.02</v>
      </c>
      <c r="K144" s="20">
        <v>80.53</v>
      </c>
      <c r="L144" s="23">
        <v>2.5</v>
      </c>
      <c r="M144" s="20">
        <v>2.0099999999999998</v>
      </c>
      <c r="N144" s="23">
        <v>2.5</v>
      </c>
      <c r="O144" s="20">
        <v>2.0099999999999998</v>
      </c>
      <c r="P144" s="20">
        <v>84.55</v>
      </c>
    </row>
    <row r="145" spans="1:16" x14ac:dyDescent="0.35">
      <c r="A145">
        <v>144</v>
      </c>
      <c r="B145" t="s">
        <v>284</v>
      </c>
      <c r="C145" s="4" t="s">
        <v>296</v>
      </c>
      <c r="D145">
        <v>1</v>
      </c>
      <c r="E145" t="s">
        <v>37</v>
      </c>
      <c r="F145" s="2">
        <v>45936</v>
      </c>
      <c r="G145" s="3">
        <v>46327</v>
      </c>
      <c r="H145" s="20">
        <v>67.709090909090904</v>
      </c>
      <c r="I145" s="20">
        <v>103.01</v>
      </c>
      <c r="J145" s="20">
        <v>74.48</v>
      </c>
      <c r="K145" s="20">
        <v>72.25</v>
      </c>
      <c r="L145" s="23">
        <v>2.5</v>
      </c>
      <c r="M145" s="20">
        <v>1.81</v>
      </c>
      <c r="N145" s="23">
        <v>2.5</v>
      </c>
      <c r="O145" s="20">
        <v>1.81</v>
      </c>
      <c r="P145" s="20">
        <v>75.87</v>
      </c>
    </row>
    <row r="146" spans="1:16" x14ac:dyDescent="0.35">
      <c r="A146">
        <v>145</v>
      </c>
      <c r="B146" t="s">
        <v>285</v>
      </c>
      <c r="C146" s="4">
        <v>11230179</v>
      </c>
      <c r="D146">
        <v>6</v>
      </c>
      <c r="E146" t="s">
        <v>37</v>
      </c>
      <c r="F146" s="2">
        <v>45936</v>
      </c>
      <c r="G146" s="3">
        <v>46388</v>
      </c>
      <c r="H146" s="20">
        <v>65.454545454545453</v>
      </c>
      <c r="I146" s="20">
        <v>94.5</v>
      </c>
      <c r="J146" s="20">
        <v>72</v>
      </c>
      <c r="K146" s="20">
        <v>384.12</v>
      </c>
      <c r="L146" s="23">
        <v>2.5</v>
      </c>
      <c r="M146" s="20">
        <v>9.6</v>
      </c>
      <c r="N146" s="23">
        <v>2.5</v>
      </c>
      <c r="O146" s="20">
        <v>9.6</v>
      </c>
      <c r="P146" s="20">
        <v>403.32</v>
      </c>
    </row>
    <row r="147" spans="1:16" x14ac:dyDescent="0.35">
      <c r="A147">
        <v>146</v>
      </c>
      <c r="B147" t="s">
        <v>286</v>
      </c>
      <c r="C147" s="4" t="s">
        <v>297</v>
      </c>
      <c r="D147">
        <v>1</v>
      </c>
      <c r="E147" t="s">
        <v>37</v>
      </c>
      <c r="F147" s="2">
        <v>45936</v>
      </c>
      <c r="G147" s="3">
        <v>46478</v>
      </c>
      <c r="H147" s="20">
        <v>268.10909090909092</v>
      </c>
      <c r="I147" s="20">
        <v>387.08</v>
      </c>
      <c r="J147" s="20">
        <v>294.92</v>
      </c>
      <c r="K147" s="20">
        <v>286.07</v>
      </c>
      <c r="L147" s="23">
        <v>2.5</v>
      </c>
      <c r="M147" s="20">
        <v>7.15</v>
      </c>
      <c r="N147" s="23">
        <v>2.5</v>
      </c>
      <c r="O147" s="20">
        <v>7.15</v>
      </c>
      <c r="P147" s="20">
        <v>300.32</v>
      </c>
    </row>
    <row r="148" spans="1:16" x14ac:dyDescent="0.35">
      <c r="A148">
        <v>147</v>
      </c>
      <c r="B148" t="s">
        <v>286</v>
      </c>
      <c r="C148" s="4" t="s">
        <v>297</v>
      </c>
      <c r="D148">
        <v>1</v>
      </c>
      <c r="E148" t="s">
        <v>37</v>
      </c>
      <c r="F148" s="2">
        <v>45936</v>
      </c>
      <c r="G148" s="3">
        <v>46478</v>
      </c>
      <c r="H148" s="20">
        <v>268.05454545454546</v>
      </c>
      <c r="I148" s="20">
        <v>387</v>
      </c>
      <c r="J148" s="20">
        <v>294.86</v>
      </c>
      <c r="K148" s="20">
        <v>286.01</v>
      </c>
      <c r="L148" s="23">
        <v>2.5</v>
      </c>
      <c r="M148" s="20">
        <v>7.15</v>
      </c>
      <c r="N148" s="23">
        <v>2.5</v>
      </c>
      <c r="O148" s="20">
        <v>7.15</v>
      </c>
      <c r="P148" s="20">
        <v>300.32</v>
      </c>
    </row>
    <row r="149" spans="1:16" x14ac:dyDescent="0.35">
      <c r="A149">
        <v>148</v>
      </c>
      <c r="B149" t="s">
        <v>287</v>
      </c>
      <c r="C149" s="4" t="s">
        <v>298</v>
      </c>
      <c r="D149">
        <v>1</v>
      </c>
      <c r="E149" t="s">
        <v>37</v>
      </c>
      <c r="F149" s="2">
        <v>45936</v>
      </c>
      <c r="G149" s="3">
        <v>46539</v>
      </c>
      <c r="H149" s="20">
        <v>207.55454545454543</v>
      </c>
      <c r="I149" s="20">
        <v>299.66000000000003</v>
      </c>
      <c r="J149" s="20">
        <v>228.31</v>
      </c>
      <c r="K149" s="20">
        <v>221.46</v>
      </c>
      <c r="L149" s="23">
        <v>2.5</v>
      </c>
      <c r="M149" s="20">
        <v>5.54</v>
      </c>
      <c r="N149" s="23">
        <v>2.5</v>
      </c>
      <c r="O149" s="20">
        <v>5.54</v>
      </c>
      <c r="P149" s="20">
        <v>232.54</v>
      </c>
    </row>
    <row r="150" spans="1:16" x14ac:dyDescent="0.35">
      <c r="A150">
        <v>149</v>
      </c>
      <c r="B150" t="s">
        <v>288</v>
      </c>
      <c r="C150" s="4" t="s">
        <v>299</v>
      </c>
      <c r="D150">
        <v>1</v>
      </c>
      <c r="E150" t="s">
        <v>37</v>
      </c>
      <c r="F150" s="2">
        <v>45936</v>
      </c>
      <c r="G150" s="3">
        <v>46569</v>
      </c>
      <c r="H150" s="20">
        <v>111.86363636363635</v>
      </c>
      <c r="I150" s="20">
        <v>181.5</v>
      </c>
      <c r="J150" s="20">
        <v>123.05</v>
      </c>
      <c r="K150" s="20">
        <v>119.36</v>
      </c>
      <c r="L150" s="23">
        <v>9</v>
      </c>
      <c r="M150" s="20">
        <v>10.74</v>
      </c>
      <c r="N150" s="23">
        <v>9</v>
      </c>
      <c r="O150" s="20">
        <v>10.74</v>
      </c>
      <c r="P150" s="20">
        <v>140.84</v>
      </c>
    </row>
    <row r="151" spans="1:16" x14ac:dyDescent="0.35">
      <c r="A151">
        <v>150</v>
      </c>
      <c r="B151" t="s">
        <v>289</v>
      </c>
      <c r="C151" s="4">
        <v>25442349</v>
      </c>
      <c r="D151">
        <v>10</v>
      </c>
      <c r="E151" t="s">
        <v>37</v>
      </c>
      <c r="F151" s="2">
        <v>45936</v>
      </c>
      <c r="G151" s="3">
        <v>46508</v>
      </c>
      <c r="H151" s="20">
        <v>164.91818181818181</v>
      </c>
      <c r="I151" s="20">
        <v>238.1</v>
      </c>
      <c r="J151" s="20">
        <v>181.41</v>
      </c>
      <c r="K151" s="20">
        <v>1759.68</v>
      </c>
      <c r="L151" s="23">
        <v>2.5</v>
      </c>
      <c r="M151" s="20">
        <v>43.99</v>
      </c>
      <c r="N151" s="23">
        <v>2.5</v>
      </c>
      <c r="O151" s="20">
        <v>43.99</v>
      </c>
      <c r="P151" s="20">
        <v>1847.66</v>
      </c>
    </row>
    <row r="152" spans="1:16" x14ac:dyDescent="0.35">
      <c r="A152">
        <v>151</v>
      </c>
      <c r="B152" t="s">
        <v>290</v>
      </c>
      <c r="C152" s="4" t="s">
        <v>300</v>
      </c>
      <c r="D152">
        <v>10</v>
      </c>
      <c r="E152" t="s">
        <v>37</v>
      </c>
      <c r="F152" s="2">
        <v>45936</v>
      </c>
      <c r="G152" s="3">
        <v>46722</v>
      </c>
      <c r="H152" s="20">
        <v>96.75454545454545</v>
      </c>
      <c r="I152" s="20">
        <v>139.69</v>
      </c>
      <c r="J152" s="20">
        <v>106.43</v>
      </c>
      <c r="K152" s="20">
        <v>1032.3699999999999</v>
      </c>
      <c r="L152" s="23">
        <v>2.5</v>
      </c>
      <c r="M152" s="20">
        <v>25.81</v>
      </c>
      <c r="N152" s="23">
        <v>2.5</v>
      </c>
      <c r="O152" s="20">
        <v>25.81</v>
      </c>
      <c r="P152" s="20">
        <v>1083.93</v>
      </c>
    </row>
    <row r="153" spans="1:16" x14ac:dyDescent="0.35">
      <c r="A153">
        <v>152</v>
      </c>
      <c r="B153" t="s">
        <v>301</v>
      </c>
      <c r="C153" s="4" t="s">
        <v>302</v>
      </c>
      <c r="D153">
        <v>3</v>
      </c>
      <c r="E153" t="s">
        <v>95</v>
      </c>
      <c r="F153" s="2">
        <v>45937</v>
      </c>
      <c r="G153" s="3">
        <v>46478</v>
      </c>
      <c r="H153" s="20">
        <v>17.618181818181817</v>
      </c>
      <c r="I153" s="20">
        <v>25.44</v>
      </c>
      <c r="J153" s="20">
        <v>19.38</v>
      </c>
      <c r="K153" s="20">
        <v>56.4</v>
      </c>
      <c r="L153" s="23">
        <v>2.5</v>
      </c>
      <c r="M153" s="20">
        <v>1.41</v>
      </c>
      <c r="N153" s="23">
        <v>2.5</v>
      </c>
      <c r="O153" s="20">
        <v>1.41</v>
      </c>
      <c r="P153" s="20">
        <v>59.22</v>
      </c>
    </row>
    <row r="154" spans="1:16" x14ac:dyDescent="0.35">
      <c r="A154">
        <v>153</v>
      </c>
      <c r="B154" t="s">
        <v>266</v>
      </c>
      <c r="C154" s="4" t="s">
        <v>276</v>
      </c>
      <c r="D154">
        <v>25</v>
      </c>
      <c r="E154" t="s">
        <v>95</v>
      </c>
      <c r="F154" s="2">
        <v>45937</v>
      </c>
      <c r="G154" s="3">
        <v>46235</v>
      </c>
      <c r="H154" s="20">
        <v>32.418181818181814</v>
      </c>
      <c r="I154" s="20">
        <v>46.8</v>
      </c>
      <c r="J154" s="20">
        <v>35.659999999999997</v>
      </c>
      <c r="K154" s="20">
        <v>891.5</v>
      </c>
      <c r="L154" s="23">
        <v>2.5</v>
      </c>
      <c r="M154" s="20">
        <v>22.274999999999999</v>
      </c>
      <c r="N154" s="23">
        <v>2.5</v>
      </c>
      <c r="O154" s="20">
        <v>22.274999999999999</v>
      </c>
      <c r="P154" s="20">
        <v>936.05</v>
      </c>
    </row>
    <row r="155" spans="1:16" x14ac:dyDescent="0.35">
      <c r="A155">
        <v>154</v>
      </c>
      <c r="B155" t="s">
        <v>303</v>
      </c>
      <c r="C155" s="4" t="s">
        <v>304</v>
      </c>
      <c r="D155">
        <v>2</v>
      </c>
      <c r="E155" t="s">
        <v>95</v>
      </c>
      <c r="F155" s="2">
        <v>45937</v>
      </c>
      <c r="G155" s="3">
        <v>46478</v>
      </c>
      <c r="H155" s="20">
        <v>103.89999999999999</v>
      </c>
      <c r="I155" s="20">
        <v>150</v>
      </c>
      <c r="J155" s="20">
        <v>114.29</v>
      </c>
      <c r="K155" s="20">
        <v>221.72</v>
      </c>
      <c r="L155" s="23">
        <v>2.5</v>
      </c>
      <c r="M155" s="20">
        <v>5.54</v>
      </c>
      <c r="N155" s="23">
        <v>2.5</v>
      </c>
      <c r="O155" s="20">
        <v>5.54</v>
      </c>
      <c r="P155" s="20">
        <v>232.8</v>
      </c>
    </row>
    <row r="156" spans="1:16" x14ac:dyDescent="0.35">
      <c r="A156">
        <v>155</v>
      </c>
      <c r="B156" t="s">
        <v>305</v>
      </c>
      <c r="C156" s="4" t="s">
        <v>310</v>
      </c>
      <c r="D156">
        <v>2</v>
      </c>
      <c r="E156" t="s">
        <v>95</v>
      </c>
      <c r="F156" s="2">
        <v>45937</v>
      </c>
      <c r="G156" s="3">
        <v>46508</v>
      </c>
      <c r="H156" s="20">
        <v>373.99999999999994</v>
      </c>
      <c r="I156" s="20">
        <v>515.63</v>
      </c>
      <c r="J156" s="20">
        <v>411.4</v>
      </c>
      <c r="K156" s="20">
        <v>798.12</v>
      </c>
      <c r="L156" s="23">
        <v>2.5</v>
      </c>
      <c r="M156" s="20">
        <v>19.95</v>
      </c>
      <c r="N156" s="23">
        <v>2.5</v>
      </c>
      <c r="O156" s="20">
        <v>19.95</v>
      </c>
      <c r="P156" s="20">
        <v>838.02</v>
      </c>
    </row>
    <row r="157" spans="1:16" x14ac:dyDescent="0.35">
      <c r="A157">
        <v>156</v>
      </c>
      <c r="B157" t="s">
        <v>306</v>
      </c>
      <c r="C157" s="4">
        <v>25442309</v>
      </c>
      <c r="D157">
        <v>1</v>
      </c>
      <c r="E157" t="s">
        <v>95</v>
      </c>
      <c r="F157" s="2">
        <v>45937</v>
      </c>
      <c r="G157" s="3">
        <v>46327</v>
      </c>
      <c r="H157" s="20">
        <v>135.39090909090908</v>
      </c>
      <c r="I157" s="20">
        <v>195.47</v>
      </c>
      <c r="J157" s="20">
        <v>148.93</v>
      </c>
      <c r="K157" s="20">
        <v>144.46</v>
      </c>
      <c r="L157" s="23">
        <v>2.5</v>
      </c>
      <c r="M157" s="20">
        <v>3.61</v>
      </c>
      <c r="N157" s="23">
        <v>2.5</v>
      </c>
      <c r="O157" s="20">
        <v>3.61</v>
      </c>
      <c r="P157" s="20">
        <v>151.68</v>
      </c>
    </row>
    <row r="158" spans="1:16" x14ac:dyDescent="0.35">
      <c r="A158">
        <v>157</v>
      </c>
      <c r="B158" t="s">
        <v>286</v>
      </c>
      <c r="C158" s="4" t="s">
        <v>297</v>
      </c>
      <c r="D158">
        <v>2</v>
      </c>
      <c r="E158" t="s">
        <v>95</v>
      </c>
      <c r="F158" s="2">
        <v>45937</v>
      </c>
      <c r="G158" s="3">
        <v>46357</v>
      </c>
      <c r="H158" s="20">
        <v>268.10909090909092</v>
      </c>
      <c r="I158" s="20">
        <v>387.08</v>
      </c>
      <c r="J158" s="20">
        <v>294.92</v>
      </c>
      <c r="K158" s="20">
        <v>572.14</v>
      </c>
      <c r="L158" s="23">
        <v>2.5</v>
      </c>
      <c r="M158" s="20">
        <v>14.3</v>
      </c>
      <c r="N158" s="23">
        <v>2.5</v>
      </c>
      <c r="O158" s="20">
        <v>14.3</v>
      </c>
      <c r="P158" s="20">
        <v>600.74</v>
      </c>
    </row>
    <row r="159" spans="1:16" x14ac:dyDescent="0.35">
      <c r="A159">
        <v>158</v>
      </c>
      <c r="B159" t="s">
        <v>307</v>
      </c>
      <c r="C159" s="4" t="s">
        <v>311</v>
      </c>
      <c r="D159">
        <v>15</v>
      </c>
      <c r="E159" t="s">
        <v>95</v>
      </c>
      <c r="F159" s="2">
        <v>45937</v>
      </c>
      <c r="G159" s="3">
        <v>46905</v>
      </c>
      <c r="H159" s="20">
        <v>21.036363636363635</v>
      </c>
      <c r="I159" s="20">
        <v>30.37</v>
      </c>
      <c r="J159" s="20">
        <v>23.14</v>
      </c>
      <c r="K159" s="20">
        <v>336.69</v>
      </c>
      <c r="L159" s="23">
        <v>2.5</v>
      </c>
      <c r="M159" s="20">
        <v>8.42</v>
      </c>
      <c r="N159" s="23">
        <v>2.5</v>
      </c>
      <c r="O159" s="20">
        <v>8.42</v>
      </c>
      <c r="P159" s="20">
        <v>353.53</v>
      </c>
    </row>
    <row r="160" spans="1:16" x14ac:dyDescent="0.35">
      <c r="A160">
        <v>159</v>
      </c>
      <c r="B160" t="s">
        <v>308</v>
      </c>
      <c r="C160" s="4" t="s">
        <v>312</v>
      </c>
      <c r="D160">
        <v>3</v>
      </c>
      <c r="E160" t="s">
        <v>95</v>
      </c>
      <c r="F160" s="2">
        <v>45937</v>
      </c>
      <c r="G160" s="3">
        <v>46874</v>
      </c>
      <c r="H160" s="20">
        <v>172.08181818181816</v>
      </c>
      <c r="I160" s="20">
        <v>248.44</v>
      </c>
      <c r="J160" s="20">
        <v>189.29</v>
      </c>
      <c r="K160" s="20">
        <v>550.83000000000004</v>
      </c>
      <c r="L160" s="23">
        <v>2.5</v>
      </c>
      <c r="M160" s="20">
        <v>13.77</v>
      </c>
      <c r="N160" s="23">
        <v>2.5</v>
      </c>
      <c r="O160" s="20">
        <v>13.77</v>
      </c>
      <c r="P160" s="20">
        <v>578.37</v>
      </c>
    </row>
    <row r="161" spans="1:16" x14ac:dyDescent="0.35">
      <c r="A161">
        <v>160</v>
      </c>
      <c r="B161" t="s">
        <v>309</v>
      </c>
      <c r="C161" s="4" t="s">
        <v>313</v>
      </c>
      <c r="D161">
        <v>7</v>
      </c>
      <c r="E161" t="s">
        <v>95</v>
      </c>
      <c r="F161" s="2">
        <v>45937</v>
      </c>
      <c r="G161" s="3">
        <v>46478</v>
      </c>
      <c r="H161" s="20">
        <v>100.32727272727271</v>
      </c>
      <c r="I161" s="20">
        <v>144.85</v>
      </c>
      <c r="J161" s="20">
        <v>110.36</v>
      </c>
      <c r="K161" s="20">
        <v>701.17</v>
      </c>
      <c r="L161" s="23">
        <v>2.5</v>
      </c>
      <c r="M161" s="20">
        <v>17.53</v>
      </c>
      <c r="N161" s="23">
        <v>2.5</v>
      </c>
      <c r="O161" s="20">
        <v>17.53</v>
      </c>
      <c r="P161" s="20">
        <v>736.23</v>
      </c>
    </row>
    <row r="162" spans="1:16" x14ac:dyDescent="0.35">
      <c r="A162">
        <v>161</v>
      </c>
      <c r="B162" t="s">
        <v>314</v>
      </c>
      <c r="C162" s="4" t="s">
        <v>315</v>
      </c>
      <c r="D162">
        <v>2</v>
      </c>
      <c r="E162" t="s">
        <v>131</v>
      </c>
      <c r="F162" s="2">
        <v>45937</v>
      </c>
      <c r="G162" s="3">
        <v>46722</v>
      </c>
      <c r="H162" s="20">
        <v>88.963636363636354</v>
      </c>
      <c r="I162" s="20">
        <v>137</v>
      </c>
      <c r="J162" s="20">
        <v>97.86</v>
      </c>
      <c r="K162" s="20">
        <v>189.85</v>
      </c>
      <c r="L162" s="23">
        <v>2.5</v>
      </c>
      <c r="M162" s="20">
        <v>4.25</v>
      </c>
      <c r="N162" s="23">
        <v>2.5</v>
      </c>
      <c r="O162" s="20">
        <v>4.25</v>
      </c>
      <c r="P162" s="20">
        <v>199.35</v>
      </c>
    </row>
    <row r="163" spans="1:16" x14ac:dyDescent="0.35">
      <c r="A163">
        <v>162</v>
      </c>
      <c r="B163" t="s">
        <v>316</v>
      </c>
      <c r="C163" s="4" t="s">
        <v>318</v>
      </c>
      <c r="D163">
        <v>1</v>
      </c>
      <c r="E163" t="s">
        <v>131</v>
      </c>
      <c r="F163" s="2">
        <v>45937</v>
      </c>
      <c r="G163" s="3">
        <v>46388</v>
      </c>
      <c r="H163" s="20">
        <v>166.36363636363635</v>
      </c>
      <c r="I163" s="20">
        <v>246.56</v>
      </c>
      <c r="J163" s="20">
        <v>183</v>
      </c>
      <c r="K163" s="20">
        <v>183</v>
      </c>
      <c r="L163" s="23">
        <v>2.5</v>
      </c>
      <c r="M163" s="20">
        <v>4.58</v>
      </c>
      <c r="N163" s="23">
        <v>2.5</v>
      </c>
      <c r="O163" s="20">
        <v>4.58</v>
      </c>
      <c r="P163" s="20">
        <v>192.16</v>
      </c>
    </row>
    <row r="164" spans="1:16" x14ac:dyDescent="0.35">
      <c r="A164">
        <v>163</v>
      </c>
      <c r="B164" t="s">
        <v>263</v>
      </c>
      <c r="C164" s="4" t="s">
        <v>320</v>
      </c>
      <c r="D164">
        <v>1</v>
      </c>
      <c r="E164" t="s">
        <v>131</v>
      </c>
      <c r="F164" s="2">
        <v>45937</v>
      </c>
      <c r="G164" s="3">
        <v>46478</v>
      </c>
      <c r="H164" s="20">
        <v>448.0545454545454</v>
      </c>
      <c r="I164" s="20">
        <v>646.88</v>
      </c>
      <c r="J164" s="20">
        <v>492.86</v>
      </c>
      <c r="K164" s="20">
        <v>478.07</v>
      </c>
      <c r="L164" s="23">
        <v>2.5</v>
      </c>
      <c r="M164" s="20">
        <v>11.95</v>
      </c>
      <c r="N164" s="23">
        <v>2.5</v>
      </c>
      <c r="O164" s="20">
        <v>11.95</v>
      </c>
      <c r="P164" s="20">
        <v>501.97</v>
      </c>
    </row>
    <row r="165" spans="1:16" x14ac:dyDescent="0.35">
      <c r="A165">
        <v>164</v>
      </c>
      <c r="B165" t="s">
        <v>317</v>
      </c>
      <c r="C165" s="4" t="s">
        <v>319</v>
      </c>
      <c r="D165">
        <v>10</v>
      </c>
      <c r="E165" t="s">
        <v>131</v>
      </c>
      <c r="F165" s="2">
        <v>45937</v>
      </c>
      <c r="G165" s="3">
        <v>46419</v>
      </c>
      <c r="H165" s="20">
        <v>47.499999999999993</v>
      </c>
      <c r="I165" s="20">
        <v>115</v>
      </c>
      <c r="J165" s="20">
        <v>52.25</v>
      </c>
      <c r="K165" s="20">
        <v>522.5</v>
      </c>
      <c r="L165" s="23">
        <v>2.5</v>
      </c>
      <c r="M165" s="20">
        <v>13.06</v>
      </c>
      <c r="N165" s="23">
        <v>2.5</v>
      </c>
      <c r="O165" s="20">
        <v>13.06</v>
      </c>
      <c r="P165" s="20">
        <v>548.62</v>
      </c>
    </row>
    <row r="166" spans="1:16" x14ac:dyDescent="0.35">
      <c r="A166">
        <v>165</v>
      </c>
      <c r="B166" t="s">
        <v>321</v>
      </c>
      <c r="C166" s="4" t="s">
        <v>323</v>
      </c>
      <c r="D166">
        <v>2</v>
      </c>
      <c r="E166" t="s">
        <v>134</v>
      </c>
      <c r="F166" s="2">
        <v>45938</v>
      </c>
      <c r="G166" s="3">
        <v>46784</v>
      </c>
      <c r="H166" s="20">
        <v>321.42727272727268</v>
      </c>
      <c r="I166" s="20">
        <v>464.06</v>
      </c>
      <c r="J166" s="20">
        <v>353.57</v>
      </c>
      <c r="K166" s="20">
        <f>P166-M166-O166</f>
        <v>685.95</v>
      </c>
      <c r="L166" s="23">
        <v>2.5</v>
      </c>
      <c r="M166" s="20">
        <v>17.14</v>
      </c>
      <c r="N166" s="23">
        <v>2.5</v>
      </c>
      <c r="O166" s="20">
        <v>17.14</v>
      </c>
      <c r="P166" s="20">
        <v>720.23</v>
      </c>
    </row>
    <row r="167" spans="1:16" x14ac:dyDescent="0.35">
      <c r="A167">
        <v>166</v>
      </c>
      <c r="B167" t="s">
        <v>305</v>
      </c>
      <c r="C167" s="4" t="s">
        <v>310</v>
      </c>
      <c r="D167">
        <v>2</v>
      </c>
      <c r="E167" t="s">
        <v>134</v>
      </c>
      <c r="F167" s="2">
        <v>45938</v>
      </c>
      <c r="G167" s="3">
        <v>46508</v>
      </c>
      <c r="H167" s="20">
        <v>373.99999999999994</v>
      </c>
      <c r="I167" s="20">
        <v>515.63</v>
      </c>
      <c r="J167" s="20">
        <v>411.4</v>
      </c>
      <c r="K167" s="20">
        <f>P167-M167-O167</f>
        <v>798.1099999999999</v>
      </c>
      <c r="L167" s="23">
        <v>2.5</v>
      </c>
      <c r="M167" s="20">
        <v>19.954999999999998</v>
      </c>
      <c r="N167" s="23">
        <v>2.5</v>
      </c>
      <c r="O167" s="20">
        <v>19.954999999999998</v>
      </c>
      <c r="P167" s="20">
        <v>838.02</v>
      </c>
    </row>
    <row r="168" spans="1:16" x14ac:dyDescent="0.35">
      <c r="A168">
        <v>167</v>
      </c>
      <c r="B168" t="s">
        <v>322</v>
      </c>
      <c r="C168" s="4" t="s">
        <v>324</v>
      </c>
      <c r="D168">
        <v>2</v>
      </c>
      <c r="E168" t="s">
        <v>134</v>
      </c>
      <c r="F168" s="2">
        <v>45938</v>
      </c>
      <c r="G168" s="3">
        <v>46508</v>
      </c>
      <c r="H168" s="20">
        <v>407.31818181818181</v>
      </c>
      <c r="I168" s="20">
        <v>561.55999999999995</v>
      </c>
      <c r="J168" s="20">
        <v>448.05</v>
      </c>
      <c r="K168" s="20">
        <f>P168-M168-O168</f>
        <v>869.21999999999991</v>
      </c>
      <c r="L168" s="23">
        <v>2.5</v>
      </c>
      <c r="M168" s="20">
        <v>21.73</v>
      </c>
      <c r="N168" s="23">
        <v>2.5</v>
      </c>
      <c r="O168" s="20">
        <v>21.73</v>
      </c>
      <c r="P168" s="20">
        <v>912.68</v>
      </c>
    </row>
    <row r="169" spans="1:16" x14ac:dyDescent="0.35">
      <c r="A169">
        <v>168</v>
      </c>
      <c r="B169" t="s">
        <v>325</v>
      </c>
      <c r="C169" s="4" t="s">
        <v>338</v>
      </c>
      <c r="D169">
        <v>3</v>
      </c>
      <c r="E169" t="s">
        <v>37</v>
      </c>
      <c r="F169" s="2">
        <v>45938</v>
      </c>
      <c r="G169" s="3">
        <v>46478</v>
      </c>
      <c r="H169" s="20">
        <v>63.218181818181819</v>
      </c>
      <c r="I169" s="20">
        <v>91.27</v>
      </c>
      <c r="J169" s="20">
        <v>69.540000000000006</v>
      </c>
      <c r="K169" s="20">
        <v>202.36</v>
      </c>
      <c r="L169" s="23">
        <v>2.5</v>
      </c>
      <c r="M169" s="20">
        <v>5.0599999999999996</v>
      </c>
      <c r="N169" s="23">
        <v>2.5</v>
      </c>
      <c r="O169" s="20">
        <v>5.0599999999999996</v>
      </c>
      <c r="P169" s="20">
        <v>212.48</v>
      </c>
    </row>
    <row r="170" spans="1:16" x14ac:dyDescent="0.35">
      <c r="A170">
        <v>169</v>
      </c>
      <c r="B170" t="s">
        <v>326</v>
      </c>
      <c r="C170" s="4" t="s">
        <v>339</v>
      </c>
      <c r="D170">
        <v>5</v>
      </c>
      <c r="E170" t="s">
        <v>37</v>
      </c>
      <c r="F170" s="2">
        <v>45938</v>
      </c>
      <c r="G170" s="3">
        <v>46478</v>
      </c>
      <c r="H170" s="20">
        <v>188.30909090909088</v>
      </c>
      <c r="I170" s="20">
        <v>271.88</v>
      </c>
      <c r="J170" s="20">
        <v>207.14</v>
      </c>
      <c r="K170" s="20">
        <v>1004.63</v>
      </c>
      <c r="L170" s="23">
        <v>2.5</v>
      </c>
      <c r="M170" s="20">
        <v>25.12</v>
      </c>
      <c r="N170" s="23">
        <v>2.5</v>
      </c>
      <c r="O170" s="20">
        <v>25.12</v>
      </c>
      <c r="P170" s="20">
        <v>1054.8699999999999</v>
      </c>
    </row>
    <row r="171" spans="1:16" x14ac:dyDescent="0.35">
      <c r="A171">
        <v>170</v>
      </c>
      <c r="B171" t="s">
        <v>327</v>
      </c>
      <c r="C171" s="4" t="s">
        <v>340</v>
      </c>
      <c r="D171">
        <v>10</v>
      </c>
      <c r="E171" t="s">
        <v>37</v>
      </c>
      <c r="F171" s="2">
        <v>45938</v>
      </c>
      <c r="G171" s="3">
        <v>46508</v>
      </c>
      <c r="H171" s="20">
        <v>133.76363636363635</v>
      </c>
      <c r="I171" s="20">
        <v>193.13</v>
      </c>
      <c r="J171" s="20">
        <v>147.13999999999999</v>
      </c>
      <c r="K171" s="20">
        <v>1427.26</v>
      </c>
      <c r="L171" s="23">
        <v>2.5</v>
      </c>
      <c r="M171" s="20">
        <v>35.68</v>
      </c>
      <c r="N171" s="23">
        <v>2.5</v>
      </c>
      <c r="O171" s="20">
        <v>35.68</v>
      </c>
      <c r="P171" s="20">
        <v>1498.62</v>
      </c>
    </row>
    <row r="172" spans="1:16" x14ac:dyDescent="0.35">
      <c r="A172">
        <v>171</v>
      </c>
      <c r="B172" t="s">
        <v>328</v>
      </c>
      <c r="C172" s="4">
        <v>111250908</v>
      </c>
      <c r="D172">
        <v>1</v>
      </c>
      <c r="E172" t="s">
        <v>37</v>
      </c>
      <c r="F172" s="2">
        <v>45938</v>
      </c>
      <c r="G172" s="3">
        <v>46905</v>
      </c>
      <c r="H172" s="20">
        <v>162.07272727272726</v>
      </c>
      <c r="I172" s="20">
        <v>234</v>
      </c>
      <c r="J172" s="20">
        <v>178.28</v>
      </c>
      <c r="K172" s="20">
        <v>172.93</v>
      </c>
      <c r="L172" s="23">
        <v>2.5</v>
      </c>
      <c r="M172" s="20">
        <v>4.32</v>
      </c>
      <c r="N172" s="23">
        <v>2.5</v>
      </c>
      <c r="O172" s="20">
        <v>4.32</v>
      </c>
      <c r="P172" s="20">
        <v>181.57</v>
      </c>
    </row>
    <row r="173" spans="1:16" x14ac:dyDescent="0.35">
      <c r="A173">
        <v>172</v>
      </c>
      <c r="B173" t="s">
        <v>329</v>
      </c>
      <c r="C173" s="4" t="s">
        <v>341</v>
      </c>
      <c r="D173">
        <v>4</v>
      </c>
      <c r="E173" t="s">
        <v>37</v>
      </c>
      <c r="F173" s="2">
        <v>45938</v>
      </c>
      <c r="G173" s="3">
        <v>46905</v>
      </c>
      <c r="H173" s="20">
        <v>56</v>
      </c>
      <c r="I173" s="20">
        <v>80.849999999999994</v>
      </c>
      <c r="J173" s="20">
        <v>61.6</v>
      </c>
      <c r="K173" s="20">
        <v>239.01</v>
      </c>
      <c r="L173" s="23">
        <v>2.5</v>
      </c>
      <c r="M173" s="20">
        <v>5.98</v>
      </c>
      <c r="N173" s="23">
        <v>2.5</v>
      </c>
      <c r="O173" s="20">
        <v>5.98</v>
      </c>
      <c r="P173" s="20">
        <v>250.97</v>
      </c>
    </row>
    <row r="174" spans="1:16" x14ac:dyDescent="0.35">
      <c r="A174">
        <v>173</v>
      </c>
      <c r="B174" t="s">
        <v>330</v>
      </c>
      <c r="C174" s="4" t="s">
        <v>342</v>
      </c>
      <c r="D174">
        <v>1</v>
      </c>
      <c r="E174" t="s">
        <v>37</v>
      </c>
      <c r="F174" s="2">
        <v>45938</v>
      </c>
      <c r="G174" s="3">
        <v>46357</v>
      </c>
      <c r="H174" s="20">
        <v>69.181818181818173</v>
      </c>
      <c r="I174" s="20">
        <v>99.88</v>
      </c>
      <c r="J174" s="20">
        <v>76.099999999999994</v>
      </c>
      <c r="K174" s="20">
        <v>73.819999999999993</v>
      </c>
      <c r="L174" s="23">
        <v>2.5</v>
      </c>
      <c r="M174" s="20">
        <v>1.85</v>
      </c>
      <c r="N174" s="23">
        <v>2.5</v>
      </c>
      <c r="O174" s="20">
        <v>1.85</v>
      </c>
      <c r="P174" s="20">
        <v>77.52</v>
      </c>
    </row>
    <row r="175" spans="1:16" x14ac:dyDescent="0.35">
      <c r="A175">
        <v>174</v>
      </c>
      <c r="B175" t="s">
        <v>331</v>
      </c>
      <c r="C175" s="4" t="s">
        <v>343</v>
      </c>
      <c r="D175">
        <v>1</v>
      </c>
      <c r="E175" t="s">
        <v>37</v>
      </c>
      <c r="F175" s="2">
        <v>45938</v>
      </c>
      <c r="G175" s="3">
        <v>46388</v>
      </c>
      <c r="H175" s="20">
        <v>97.745454545454535</v>
      </c>
      <c r="I175" s="20">
        <v>141.12</v>
      </c>
      <c r="J175" s="20">
        <v>107.52</v>
      </c>
      <c r="K175" s="20">
        <v>104.29</v>
      </c>
      <c r="L175" s="23">
        <v>2.5</v>
      </c>
      <c r="M175" s="20">
        <v>2.61</v>
      </c>
      <c r="N175" s="23">
        <v>2.5</v>
      </c>
      <c r="O175" s="20">
        <v>2.61</v>
      </c>
      <c r="P175" s="20">
        <v>109.51</v>
      </c>
    </row>
    <row r="176" spans="1:16" x14ac:dyDescent="0.35">
      <c r="A176">
        <v>175</v>
      </c>
      <c r="B176" t="s">
        <v>332</v>
      </c>
      <c r="C176" s="4" t="s">
        <v>344</v>
      </c>
      <c r="D176">
        <v>2</v>
      </c>
      <c r="E176" t="s">
        <v>37</v>
      </c>
      <c r="F176" s="2">
        <v>45938</v>
      </c>
      <c r="G176" s="3">
        <v>46874</v>
      </c>
      <c r="H176" s="20">
        <v>75.127272727272725</v>
      </c>
      <c r="I176" s="20">
        <v>108.46</v>
      </c>
      <c r="J176" s="20">
        <v>82.64</v>
      </c>
      <c r="K176" s="20">
        <v>160.32</v>
      </c>
      <c r="L176" s="23">
        <v>2.5</v>
      </c>
      <c r="M176" s="20">
        <v>4.01</v>
      </c>
      <c r="N176" s="23">
        <v>2.5</v>
      </c>
      <c r="O176" s="20">
        <v>4.01</v>
      </c>
      <c r="P176" s="20">
        <v>168.34</v>
      </c>
    </row>
    <row r="177" spans="1:16" x14ac:dyDescent="0.35">
      <c r="A177">
        <v>176</v>
      </c>
      <c r="B177" t="s">
        <v>333</v>
      </c>
      <c r="C177" s="4">
        <v>60002196</v>
      </c>
      <c r="D177">
        <v>10</v>
      </c>
      <c r="E177" t="s">
        <v>37</v>
      </c>
      <c r="F177" s="2">
        <v>45938</v>
      </c>
      <c r="G177" s="3">
        <v>46539</v>
      </c>
      <c r="H177" s="20">
        <v>85.390909090909091</v>
      </c>
      <c r="I177" s="20">
        <v>123.28</v>
      </c>
      <c r="J177" s="20">
        <v>93.93</v>
      </c>
      <c r="K177" s="20">
        <v>911.12</v>
      </c>
      <c r="L177" s="23">
        <v>2.5</v>
      </c>
      <c r="M177" s="20">
        <v>22.78</v>
      </c>
      <c r="N177" s="23">
        <v>2.5</v>
      </c>
      <c r="O177" s="20">
        <v>22.78</v>
      </c>
      <c r="P177" s="20">
        <v>956.68</v>
      </c>
    </row>
    <row r="178" spans="1:16" x14ac:dyDescent="0.35">
      <c r="A178">
        <v>177</v>
      </c>
      <c r="B178" t="s">
        <v>334</v>
      </c>
      <c r="C178" s="4" t="s">
        <v>345</v>
      </c>
      <c r="D178">
        <v>6</v>
      </c>
      <c r="E178" t="s">
        <v>37</v>
      </c>
      <c r="F178" s="2">
        <v>45938</v>
      </c>
      <c r="G178" s="3">
        <v>46508</v>
      </c>
      <c r="H178" s="20">
        <v>165.48181818181817</v>
      </c>
      <c r="I178" s="20">
        <v>238.91</v>
      </c>
      <c r="J178" s="20">
        <v>182.03</v>
      </c>
      <c r="K178" s="20">
        <v>971.13</v>
      </c>
      <c r="L178" s="23">
        <v>2.5</v>
      </c>
      <c r="M178" s="20">
        <v>24.28</v>
      </c>
      <c r="N178" s="23">
        <v>2.5</v>
      </c>
      <c r="O178" s="20">
        <v>24.28</v>
      </c>
      <c r="P178" s="20">
        <v>1019.69</v>
      </c>
    </row>
    <row r="179" spans="1:16" x14ac:dyDescent="0.35">
      <c r="A179">
        <v>178</v>
      </c>
      <c r="B179" t="s">
        <v>335</v>
      </c>
      <c r="C179" s="4" t="s">
        <v>346</v>
      </c>
      <c r="D179">
        <v>2</v>
      </c>
      <c r="E179" t="s">
        <v>37</v>
      </c>
      <c r="F179" s="2">
        <v>45938</v>
      </c>
      <c r="G179" s="3">
        <v>46357</v>
      </c>
      <c r="H179" s="20">
        <v>241.94545454545451</v>
      </c>
      <c r="I179" s="20">
        <v>349.3</v>
      </c>
      <c r="J179" s="20">
        <v>266.14</v>
      </c>
      <c r="K179" s="20">
        <v>516.30999999999995</v>
      </c>
      <c r="L179" s="23">
        <v>2.5</v>
      </c>
      <c r="M179" s="20">
        <v>12.91</v>
      </c>
      <c r="N179" s="23">
        <v>2.5</v>
      </c>
      <c r="O179" s="20">
        <v>12.91</v>
      </c>
      <c r="P179" s="20">
        <v>542.13</v>
      </c>
    </row>
    <row r="180" spans="1:16" x14ac:dyDescent="0.35">
      <c r="A180">
        <v>179</v>
      </c>
      <c r="B180" t="s">
        <v>336</v>
      </c>
      <c r="C180" s="4" t="s">
        <v>347</v>
      </c>
      <c r="D180">
        <v>5</v>
      </c>
      <c r="E180" t="s">
        <v>37</v>
      </c>
      <c r="F180" s="2">
        <v>45938</v>
      </c>
      <c r="G180" s="3">
        <v>46478</v>
      </c>
      <c r="H180" s="20">
        <v>102.96363636363635</v>
      </c>
      <c r="I180" s="20">
        <v>148.65</v>
      </c>
      <c r="J180" s="20">
        <v>113.26</v>
      </c>
      <c r="K180" s="20">
        <v>549.30999999999995</v>
      </c>
      <c r="L180" s="23">
        <v>2.5</v>
      </c>
      <c r="M180" s="20">
        <v>13.73</v>
      </c>
      <c r="N180" s="23">
        <v>2.5</v>
      </c>
      <c r="O180" s="20">
        <v>13.73</v>
      </c>
      <c r="P180" s="20">
        <v>576.77</v>
      </c>
    </row>
    <row r="181" spans="1:16" x14ac:dyDescent="0.35">
      <c r="A181">
        <v>180</v>
      </c>
      <c r="B181" t="s">
        <v>337</v>
      </c>
      <c r="C181" s="4" t="s">
        <v>348</v>
      </c>
      <c r="D181">
        <v>2</v>
      </c>
      <c r="E181" t="s">
        <v>37</v>
      </c>
      <c r="F181" s="2">
        <v>45938</v>
      </c>
      <c r="G181" s="3">
        <v>46508</v>
      </c>
      <c r="H181" s="20">
        <v>136.36363636363635</v>
      </c>
      <c r="I181" s="20">
        <v>196.87</v>
      </c>
      <c r="J181" s="20">
        <v>150</v>
      </c>
      <c r="K181" s="20">
        <v>291</v>
      </c>
      <c r="L181" s="23">
        <v>2.5</v>
      </c>
      <c r="M181" s="20">
        <v>7.28</v>
      </c>
      <c r="N181" s="23">
        <v>2.5</v>
      </c>
      <c r="O181" s="20">
        <v>7.28</v>
      </c>
      <c r="P181" s="20">
        <v>305.56</v>
      </c>
    </row>
    <row r="182" spans="1:16" x14ac:dyDescent="0.35">
      <c r="A182">
        <v>181</v>
      </c>
      <c r="B182" t="s">
        <v>349</v>
      </c>
      <c r="C182" s="4" t="s">
        <v>350</v>
      </c>
      <c r="D182">
        <v>1</v>
      </c>
      <c r="E182" t="s">
        <v>37</v>
      </c>
      <c r="F182" s="2">
        <v>45938</v>
      </c>
      <c r="G182" s="3">
        <v>46327</v>
      </c>
      <c r="H182" s="20">
        <v>216.88181818181815</v>
      </c>
      <c r="I182" s="20">
        <v>313.13</v>
      </c>
      <c r="J182" s="20">
        <v>238.57</v>
      </c>
      <c r="K182" s="20">
        <v>231.41</v>
      </c>
      <c r="L182" s="23">
        <v>2.5</v>
      </c>
      <c r="M182" s="20">
        <v>5.79</v>
      </c>
      <c r="N182" s="23">
        <v>2.5</v>
      </c>
      <c r="O182" s="20">
        <v>5.79</v>
      </c>
      <c r="P182" s="20">
        <v>242.99</v>
      </c>
    </row>
    <row r="183" spans="1:16" x14ac:dyDescent="0.35">
      <c r="A183">
        <v>182</v>
      </c>
      <c r="B183" t="s">
        <v>351</v>
      </c>
      <c r="C183" s="4" t="s">
        <v>352</v>
      </c>
      <c r="D183">
        <v>3</v>
      </c>
      <c r="E183" t="s">
        <v>95</v>
      </c>
      <c r="F183" s="2">
        <v>45938</v>
      </c>
      <c r="G183" s="3">
        <v>46388</v>
      </c>
      <c r="H183" s="20">
        <v>357.79090909090905</v>
      </c>
      <c r="I183" s="20">
        <v>516.55999999999995</v>
      </c>
      <c r="J183" s="20">
        <v>393.57</v>
      </c>
      <c r="K183" s="20">
        <v>1145.29</v>
      </c>
      <c r="L183" s="23">
        <v>2.5</v>
      </c>
      <c r="M183" s="20">
        <v>28.61</v>
      </c>
      <c r="N183" s="23">
        <v>2.5</v>
      </c>
      <c r="O183" s="20">
        <v>28.61</v>
      </c>
      <c r="P183" s="20">
        <v>1202.55</v>
      </c>
    </row>
    <row r="184" spans="1:16" x14ac:dyDescent="0.35">
      <c r="A184">
        <v>183</v>
      </c>
      <c r="B184" t="s">
        <v>353</v>
      </c>
      <c r="C184" s="4" t="s">
        <v>370</v>
      </c>
      <c r="D184">
        <v>1</v>
      </c>
      <c r="E184" t="s">
        <v>95</v>
      </c>
      <c r="F184" s="2">
        <v>45938</v>
      </c>
      <c r="G184" s="3">
        <v>46508</v>
      </c>
      <c r="H184" s="20">
        <v>92.527272727272717</v>
      </c>
      <c r="I184" s="20">
        <v>133.59</v>
      </c>
      <c r="J184" s="20">
        <v>101.78</v>
      </c>
      <c r="K184" s="20">
        <v>98.73</v>
      </c>
      <c r="L184" s="23">
        <v>2.5</v>
      </c>
      <c r="M184" s="20">
        <v>2.4700000000000002</v>
      </c>
      <c r="N184" s="23">
        <v>2.5</v>
      </c>
      <c r="O184" s="20">
        <v>2.4700000000000002</v>
      </c>
      <c r="P184" s="20">
        <v>103.67</v>
      </c>
    </row>
    <row r="185" spans="1:16" x14ac:dyDescent="0.35">
      <c r="A185">
        <v>184</v>
      </c>
      <c r="B185" t="s">
        <v>249</v>
      </c>
      <c r="C185" s="4" t="s">
        <v>258</v>
      </c>
      <c r="D185">
        <v>10</v>
      </c>
      <c r="E185" t="s">
        <v>95</v>
      </c>
      <c r="F185" s="2">
        <v>45938</v>
      </c>
      <c r="G185" s="3">
        <v>46508</v>
      </c>
      <c r="H185" s="20">
        <v>74.354545454545459</v>
      </c>
      <c r="I185" s="20">
        <v>107.34</v>
      </c>
      <c r="J185" s="20">
        <v>81.790000000000006</v>
      </c>
      <c r="K185" s="20">
        <v>793.36</v>
      </c>
      <c r="L185" s="23">
        <v>2.5</v>
      </c>
      <c r="M185" s="20">
        <v>19.829999999999998</v>
      </c>
      <c r="N185" s="23">
        <v>2.5</v>
      </c>
      <c r="O185" s="20">
        <v>19.829999999999998</v>
      </c>
      <c r="P185" s="20">
        <v>833.02</v>
      </c>
    </row>
    <row r="186" spans="1:16" x14ac:dyDescent="0.35">
      <c r="A186">
        <v>185</v>
      </c>
      <c r="B186" t="s">
        <v>354</v>
      </c>
      <c r="C186" s="4" t="s">
        <v>371</v>
      </c>
      <c r="D186">
        <v>1</v>
      </c>
      <c r="E186" t="s">
        <v>95</v>
      </c>
      <c r="F186" s="2">
        <v>45938</v>
      </c>
      <c r="G186" s="3">
        <v>46266</v>
      </c>
      <c r="H186" s="20">
        <v>216.88181818181815</v>
      </c>
      <c r="I186" s="20">
        <v>313.13</v>
      </c>
      <c r="J186" s="20">
        <v>238.57</v>
      </c>
      <c r="K186" s="20">
        <v>231.41</v>
      </c>
      <c r="L186" s="23">
        <v>2.5</v>
      </c>
      <c r="M186" s="20">
        <v>5.79</v>
      </c>
      <c r="N186" s="23">
        <v>2.5</v>
      </c>
      <c r="O186" s="20">
        <v>5.79</v>
      </c>
      <c r="P186" s="20">
        <v>242.99</v>
      </c>
    </row>
    <row r="187" spans="1:16" x14ac:dyDescent="0.35">
      <c r="A187">
        <v>186</v>
      </c>
      <c r="B187" t="s">
        <v>355</v>
      </c>
      <c r="C187" s="4" t="s">
        <v>372</v>
      </c>
      <c r="D187">
        <v>2</v>
      </c>
      <c r="E187" t="s">
        <v>95</v>
      </c>
      <c r="F187" s="2">
        <v>45938</v>
      </c>
      <c r="G187" s="3">
        <v>46631</v>
      </c>
      <c r="H187" s="20">
        <v>89.23636363636362</v>
      </c>
      <c r="I187" s="20">
        <v>128.83000000000001</v>
      </c>
      <c r="J187" s="20">
        <v>98.16</v>
      </c>
      <c r="K187" s="20">
        <v>190.43</v>
      </c>
      <c r="L187" s="23">
        <v>2.5</v>
      </c>
      <c r="M187" s="20">
        <v>4.76</v>
      </c>
      <c r="N187" s="23">
        <v>2.5</v>
      </c>
      <c r="O187" s="20">
        <v>4.76</v>
      </c>
      <c r="P187" s="20">
        <v>199.95</v>
      </c>
    </row>
    <row r="188" spans="1:16" x14ac:dyDescent="0.35">
      <c r="A188">
        <v>187</v>
      </c>
      <c r="B188" t="s">
        <v>356</v>
      </c>
      <c r="C188" s="4">
        <v>403</v>
      </c>
      <c r="D188">
        <v>1</v>
      </c>
      <c r="E188" t="s">
        <v>95</v>
      </c>
      <c r="F188" s="2">
        <v>45938</v>
      </c>
      <c r="G188" s="3">
        <v>46874</v>
      </c>
      <c r="H188" s="20">
        <v>44.845454545454537</v>
      </c>
      <c r="I188" s="20">
        <v>60.94</v>
      </c>
      <c r="J188" s="20">
        <v>49.33</v>
      </c>
      <c r="K188" s="20">
        <v>49.33</v>
      </c>
      <c r="L188" s="23">
        <v>2.5</v>
      </c>
      <c r="M188" s="20">
        <v>1.23</v>
      </c>
      <c r="N188" s="23">
        <v>2.5</v>
      </c>
      <c r="O188" s="20">
        <v>1.23</v>
      </c>
      <c r="P188" s="20">
        <v>51.79</v>
      </c>
    </row>
    <row r="189" spans="1:16" x14ac:dyDescent="0.35">
      <c r="A189">
        <v>188</v>
      </c>
      <c r="B189" t="s">
        <v>62</v>
      </c>
      <c r="C189" s="4" t="s">
        <v>373</v>
      </c>
      <c r="D189">
        <v>1</v>
      </c>
      <c r="E189" t="s">
        <v>95</v>
      </c>
      <c r="F189" s="2">
        <v>45938</v>
      </c>
      <c r="G189" s="3">
        <v>46419</v>
      </c>
      <c r="H189" s="20">
        <v>633.58181818181822</v>
      </c>
      <c r="I189" s="20">
        <v>914.74</v>
      </c>
      <c r="J189" s="20">
        <v>696.94</v>
      </c>
      <c r="K189" s="20">
        <v>676.03</v>
      </c>
      <c r="L189" s="23">
        <v>2.5</v>
      </c>
      <c r="M189" s="20">
        <v>16.899999999999999</v>
      </c>
      <c r="N189" s="23">
        <v>2.5</v>
      </c>
      <c r="O189" s="20">
        <v>16.899999999999999</v>
      </c>
      <c r="P189" s="20">
        <v>709.83</v>
      </c>
    </row>
    <row r="190" spans="1:16" x14ac:dyDescent="0.35">
      <c r="A190">
        <v>189</v>
      </c>
      <c r="B190" t="s">
        <v>357</v>
      </c>
      <c r="C190" s="4" t="s">
        <v>374</v>
      </c>
      <c r="D190">
        <v>2</v>
      </c>
      <c r="E190" t="s">
        <v>95</v>
      </c>
      <c r="F190" s="2">
        <v>45938</v>
      </c>
      <c r="G190" s="3">
        <v>46539</v>
      </c>
      <c r="H190" s="20">
        <v>292.75454545454539</v>
      </c>
      <c r="I190" s="20">
        <v>475</v>
      </c>
      <c r="J190" s="20">
        <v>322.02999999999997</v>
      </c>
      <c r="K190" s="20">
        <v>152.43</v>
      </c>
      <c r="L190" s="23">
        <v>2.5</v>
      </c>
      <c r="M190" s="20">
        <v>56.23</v>
      </c>
      <c r="N190" s="23">
        <v>2.5</v>
      </c>
      <c r="O190" s="20">
        <v>56.23</v>
      </c>
      <c r="P190" s="20">
        <v>737.2</v>
      </c>
    </row>
    <row r="191" spans="1:16" x14ac:dyDescent="0.35">
      <c r="A191">
        <v>190</v>
      </c>
      <c r="B191" t="s">
        <v>358</v>
      </c>
      <c r="C191" s="4" t="s">
        <v>376</v>
      </c>
      <c r="D191">
        <v>2</v>
      </c>
      <c r="E191" t="s">
        <v>95</v>
      </c>
      <c r="F191" s="2">
        <v>45938</v>
      </c>
      <c r="G191" s="3">
        <v>46508</v>
      </c>
      <c r="H191" s="20">
        <v>118.18181818181817</v>
      </c>
      <c r="I191" s="20">
        <v>170.63</v>
      </c>
      <c r="J191" s="20">
        <v>130</v>
      </c>
      <c r="K191" s="20">
        <v>252.2</v>
      </c>
      <c r="L191" s="23">
        <v>2.5</v>
      </c>
      <c r="M191" s="20">
        <v>6.31</v>
      </c>
      <c r="N191" s="23">
        <v>2.5</v>
      </c>
      <c r="O191" s="20">
        <v>6.31</v>
      </c>
      <c r="P191" s="20">
        <v>264.82</v>
      </c>
    </row>
    <row r="192" spans="1:16" x14ac:dyDescent="0.35">
      <c r="A192">
        <v>191</v>
      </c>
      <c r="B192" t="s">
        <v>242</v>
      </c>
      <c r="C192" s="4" t="s">
        <v>377</v>
      </c>
      <c r="D192">
        <v>2</v>
      </c>
      <c r="E192" t="s">
        <v>95</v>
      </c>
      <c r="F192" s="2">
        <v>45938</v>
      </c>
      <c r="G192" s="3">
        <v>46539</v>
      </c>
      <c r="H192" s="20">
        <v>457.85454545454542</v>
      </c>
      <c r="I192" s="20">
        <v>661.03</v>
      </c>
      <c r="J192" s="20">
        <v>503.64</v>
      </c>
      <c r="K192" s="20">
        <v>977.06</v>
      </c>
      <c r="L192" s="23">
        <v>2.5</v>
      </c>
      <c r="M192" s="20">
        <v>24.43</v>
      </c>
      <c r="N192" s="23">
        <v>2.5</v>
      </c>
      <c r="O192" s="20">
        <v>24.43</v>
      </c>
      <c r="P192" s="20">
        <v>1025.92</v>
      </c>
    </row>
    <row r="193" spans="1:16" x14ac:dyDescent="0.35">
      <c r="A193">
        <v>192</v>
      </c>
      <c r="B193" t="s">
        <v>356</v>
      </c>
      <c r="C193" s="4">
        <v>402</v>
      </c>
      <c r="D193">
        <v>2</v>
      </c>
      <c r="E193" t="s">
        <v>95</v>
      </c>
      <c r="F193" s="2">
        <v>45938</v>
      </c>
      <c r="G193" s="3">
        <v>46874</v>
      </c>
      <c r="H193" s="20">
        <v>103.49090909090908</v>
      </c>
      <c r="I193" s="20">
        <v>140.63</v>
      </c>
      <c r="J193" s="20">
        <v>113.84</v>
      </c>
      <c r="K193" s="20">
        <v>227.68</v>
      </c>
      <c r="L193" s="23">
        <v>2.5</v>
      </c>
      <c r="M193" s="20">
        <v>5.69</v>
      </c>
      <c r="N193" s="23">
        <v>2.5</v>
      </c>
      <c r="O193" s="20">
        <v>5.69</v>
      </c>
      <c r="P193" s="20">
        <v>239.06</v>
      </c>
    </row>
    <row r="194" spans="1:16" x14ac:dyDescent="0.35">
      <c r="A194">
        <v>193</v>
      </c>
      <c r="B194" t="s">
        <v>239</v>
      </c>
      <c r="C194" s="4" t="s">
        <v>240</v>
      </c>
      <c r="D194">
        <v>4</v>
      </c>
      <c r="E194" t="s">
        <v>95</v>
      </c>
      <c r="F194" s="2">
        <v>45938</v>
      </c>
      <c r="G194" s="3">
        <v>46478</v>
      </c>
      <c r="H194" s="20">
        <v>182.46363636363637</v>
      </c>
      <c r="I194" s="20">
        <v>263.44</v>
      </c>
      <c r="J194" s="20">
        <v>200.71</v>
      </c>
      <c r="K194" s="20">
        <v>778.75</v>
      </c>
      <c r="L194" s="23">
        <v>2.5</v>
      </c>
      <c r="M194" s="20">
        <v>19.47</v>
      </c>
      <c r="N194" s="23">
        <v>2.5</v>
      </c>
      <c r="O194" s="20">
        <v>19.47</v>
      </c>
      <c r="P194" s="20">
        <v>817.69</v>
      </c>
    </row>
    <row r="195" spans="1:16" x14ac:dyDescent="0.35">
      <c r="A195">
        <v>194</v>
      </c>
      <c r="B195" t="s">
        <v>244</v>
      </c>
      <c r="C195" s="4" t="s">
        <v>253</v>
      </c>
      <c r="D195">
        <v>5</v>
      </c>
      <c r="E195" t="s">
        <v>95</v>
      </c>
      <c r="F195" s="2">
        <v>45938</v>
      </c>
      <c r="G195" s="3">
        <v>46478</v>
      </c>
      <c r="H195" s="20">
        <v>86.75454545454545</v>
      </c>
      <c r="I195" s="20">
        <v>125.25</v>
      </c>
      <c r="J195" s="20">
        <v>95.43</v>
      </c>
      <c r="K195" s="20">
        <v>462.84</v>
      </c>
      <c r="L195" s="23">
        <v>2.5</v>
      </c>
      <c r="M195" s="20">
        <v>11.57</v>
      </c>
      <c r="N195" s="23">
        <v>2.5</v>
      </c>
      <c r="O195" s="20">
        <v>11.57</v>
      </c>
      <c r="P195" s="20">
        <v>485.98</v>
      </c>
    </row>
    <row r="196" spans="1:16" x14ac:dyDescent="0.35">
      <c r="A196">
        <v>195</v>
      </c>
      <c r="B196" t="s">
        <v>285</v>
      </c>
      <c r="C196" s="4">
        <v>11240179</v>
      </c>
      <c r="D196">
        <v>1</v>
      </c>
      <c r="E196" t="s">
        <v>95</v>
      </c>
      <c r="F196" s="2">
        <v>45938</v>
      </c>
      <c r="G196" s="3">
        <v>46388</v>
      </c>
      <c r="H196" s="20">
        <v>65.454545454545453</v>
      </c>
      <c r="I196" s="20">
        <v>94.5</v>
      </c>
      <c r="J196" s="20">
        <v>72</v>
      </c>
      <c r="K196" s="20">
        <v>69.84</v>
      </c>
      <c r="L196" s="23">
        <v>2.5</v>
      </c>
      <c r="M196" s="20">
        <v>1.75</v>
      </c>
      <c r="N196" s="23">
        <v>2.5</v>
      </c>
      <c r="O196" s="20">
        <v>1.75</v>
      </c>
      <c r="P196" s="20">
        <v>485.98</v>
      </c>
    </row>
    <row r="197" spans="1:16" x14ac:dyDescent="0.35">
      <c r="A197">
        <v>196</v>
      </c>
      <c r="B197" t="s">
        <v>378</v>
      </c>
      <c r="C197" t="s">
        <v>375</v>
      </c>
      <c r="D197">
        <v>2</v>
      </c>
      <c r="E197" t="s">
        <v>95</v>
      </c>
      <c r="F197" s="2">
        <v>45938</v>
      </c>
      <c r="G197" s="3">
        <v>46508</v>
      </c>
      <c r="H197" s="20">
        <v>71.427272727272722</v>
      </c>
      <c r="I197" s="20">
        <v>103.12</v>
      </c>
      <c r="J197" s="20">
        <v>78.569999999999993</v>
      </c>
      <c r="K197" s="20">
        <v>624.74699999999996</v>
      </c>
      <c r="L197" s="23">
        <v>2.5</v>
      </c>
      <c r="M197" s="20">
        <v>3.81</v>
      </c>
      <c r="N197" s="23">
        <v>2.5</v>
      </c>
      <c r="O197" s="20">
        <v>3.81</v>
      </c>
      <c r="P197" s="20">
        <v>160.05000000000001</v>
      </c>
    </row>
    <row r="198" spans="1:16" x14ac:dyDescent="0.35">
      <c r="A198">
        <v>197</v>
      </c>
      <c r="B198" t="s">
        <v>379</v>
      </c>
      <c r="C198" s="4" t="s">
        <v>385</v>
      </c>
      <c r="D198">
        <v>10</v>
      </c>
      <c r="E198" t="s">
        <v>95</v>
      </c>
      <c r="F198" s="2">
        <v>45938</v>
      </c>
      <c r="G198" s="3">
        <v>47270</v>
      </c>
      <c r="H198" s="20">
        <v>28.518181818181816</v>
      </c>
      <c r="I198" s="20">
        <v>41.18</v>
      </c>
      <c r="J198" s="20">
        <v>31.37</v>
      </c>
      <c r="K198" s="20">
        <v>304.29000000000002</v>
      </c>
      <c r="L198" s="23">
        <v>2.5</v>
      </c>
      <c r="M198" s="20">
        <v>7.61</v>
      </c>
      <c r="N198" s="23">
        <v>2.5</v>
      </c>
      <c r="O198" s="20">
        <v>7.61</v>
      </c>
      <c r="P198" s="20">
        <v>319.51</v>
      </c>
    </row>
    <row r="199" spans="1:16" x14ac:dyDescent="0.35">
      <c r="A199">
        <v>198</v>
      </c>
      <c r="B199" t="s">
        <v>380</v>
      </c>
      <c r="C199" s="4" t="s">
        <v>386</v>
      </c>
      <c r="D199">
        <v>10</v>
      </c>
      <c r="E199" t="s">
        <v>95</v>
      </c>
      <c r="F199" s="2">
        <v>45938</v>
      </c>
      <c r="G199" s="3">
        <v>46478</v>
      </c>
      <c r="H199" s="20">
        <v>153.24545454545452</v>
      </c>
      <c r="I199" s="20">
        <v>221.25</v>
      </c>
      <c r="J199" s="20">
        <v>168.57</v>
      </c>
      <c r="K199" s="20">
        <v>1635.13</v>
      </c>
      <c r="L199" s="23">
        <v>2.5</v>
      </c>
      <c r="M199" s="20">
        <v>40.880000000000003</v>
      </c>
      <c r="N199" s="23">
        <v>2.5</v>
      </c>
      <c r="O199" s="20">
        <v>40.880000000000003</v>
      </c>
      <c r="P199" s="20">
        <v>1716.89</v>
      </c>
    </row>
    <row r="200" spans="1:16" x14ac:dyDescent="0.35">
      <c r="A200">
        <v>199</v>
      </c>
      <c r="B200" t="s">
        <v>381</v>
      </c>
      <c r="C200" s="4" t="s">
        <v>387</v>
      </c>
      <c r="D200">
        <v>1</v>
      </c>
      <c r="E200" t="s">
        <v>95</v>
      </c>
      <c r="F200" s="2">
        <v>45938</v>
      </c>
      <c r="G200" s="3">
        <v>46539</v>
      </c>
      <c r="H200" s="20">
        <v>74.836363636363629</v>
      </c>
      <c r="I200" s="20">
        <v>102.9</v>
      </c>
      <c r="J200" s="20">
        <v>82.32</v>
      </c>
      <c r="K200" s="20">
        <v>80.67</v>
      </c>
      <c r="L200" s="23">
        <v>2.5</v>
      </c>
      <c r="M200" s="20">
        <v>2.02</v>
      </c>
      <c r="N200" s="23">
        <v>2.5</v>
      </c>
      <c r="O200" s="20">
        <v>2.02</v>
      </c>
      <c r="P200" s="20">
        <v>84.71</v>
      </c>
    </row>
    <row r="201" spans="1:16" x14ac:dyDescent="0.35">
      <c r="A201">
        <v>200</v>
      </c>
      <c r="B201" t="s">
        <v>382</v>
      </c>
      <c r="C201" s="4" t="s">
        <v>388</v>
      </c>
      <c r="D201">
        <v>5</v>
      </c>
      <c r="E201" t="s">
        <v>95</v>
      </c>
      <c r="F201" s="2">
        <v>45938</v>
      </c>
      <c r="G201" s="3">
        <v>46478</v>
      </c>
      <c r="H201" s="20">
        <v>164.97272727272727</v>
      </c>
      <c r="I201" s="20">
        <v>238.18</v>
      </c>
      <c r="J201" s="20">
        <v>181.47</v>
      </c>
      <c r="K201" s="20">
        <v>880.13</v>
      </c>
      <c r="L201" s="23">
        <v>2.5</v>
      </c>
      <c r="M201" s="20">
        <v>22</v>
      </c>
      <c r="N201" s="23">
        <v>2.5</v>
      </c>
      <c r="O201" s="20">
        <v>22</v>
      </c>
      <c r="P201" s="20">
        <v>924.13</v>
      </c>
    </row>
    <row r="202" spans="1:16" x14ac:dyDescent="0.35">
      <c r="A202">
        <v>201</v>
      </c>
      <c r="B202" t="s">
        <v>383</v>
      </c>
      <c r="C202" s="4">
        <v>25430108</v>
      </c>
      <c r="D202">
        <v>1</v>
      </c>
      <c r="E202" t="s">
        <v>95</v>
      </c>
      <c r="F202" s="2">
        <v>45938</v>
      </c>
      <c r="G202" s="3">
        <v>46508</v>
      </c>
      <c r="H202" s="20">
        <v>113.63636363636363</v>
      </c>
      <c r="I202" s="20">
        <v>164.06</v>
      </c>
      <c r="J202" s="20">
        <v>125</v>
      </c>
      <c r="K202" s="20">
        <v>121.25</v>
      </c>
      <c r="L202" s="23">
        <v>2.5</v>
      </c>
      <c r="M202" s="20">
        <v>3.03</v>
      </c>
      <c r="N202" s="23">
        <v>2.5</v>
      </c>
      <c r="O202" s="20">
        <v>3.03</v>
      </c>
      <c r="P202" s="20">
        <v>127.31</v>
      </c>
    </row>
    <row r="203" spans="1:16" x14ac:dyDescent="0.35">
      <c r="A203">
        <v>202</v>
      </c>
      <c r="B203" t="s">
        <v>384</v>
      </c>
      <c r="C203" s="4" t="s">
        <v>389</v>
      </c>
      <c r="D203">
        <v>1</v>
      </c>
      <c r="E203" t="s">
        <v>95</v>
      </c>
      <c r="F203" s="2">
        <v>45938</v>
      </c>
      <c r="G203" s="3">
        <v>46327</v>
      </c>
      <c r="H203" s="20">
        <v>36.490909090909085</v>
      </c>
      <c r="I203" s="20">
        <v>52.69</v>
      </c>
      <c r="J203" s="20">
        <v>40.14</v>
      </c>
      <c r="K203" s="20">
        <v>38.94</v>
      </c>
      <c r="L203" s="23">
        <v>2.5</v>
      </c>
      <c r="M203" s="20">
        <v>0.97</v>
      </c>
      <c r="N203" s="23">
        <v>2.5</v>
      </c>
      <c r="O203" s="20">
        <v>0.97</v>
      </c>
      <c r="P203" s="20">
        <v>40.880000000000003</v>
      </c>
    </row>
    <row r="204" spans="1:16" x14ac:dyDescent="0.35">
      <c r="A204">
        <v>203</v>
      </c>
      <c r="B204" t="s">
        <v>391</v>
      </c>
      <c r="C204" s="4">
        <v>25441970</v>
      </c>
      <c r="D204">
        <v>2</v>
      </c>
      <c r="E204" t="s">
        <v>131</v>
      </c>
      <c r="F204" s="2">
        <v>45939</v>
      </c>
      <c r="G204" s="3">
        <v>46508</v>
      </c>
      <c r="H204" s="20">
        <v>132.14545454545456</v>
      </c>
      <c r="I204" s="20">
        <v>190.78</v>
      </c>
      <c r="J204" s="20">
        <v>145.36000000000001</v>
      </c>
      <c r="K204" s="20">
        <v>282</v>
      </c>
      <c r="L204" s="23">
        <v>2.5</v>
      </c>
      <c r="M204" s="20">
        <v>7.05</v>
      </c>
      <c r="N204" s="23">
        <v>2.5</v>
      </c>
      <c r="O204" s="20">
        <v>7.05</v>
      </c>
      <c r="P204" s="20">
        <v>296.10000000000002</v>
      </c>
    </row>
    <row r="205" spans="1:16" x14ac:dyDescent="0.35">
      <c r="A205">
        <v>204</v>
      </c>
      <c r="B205" t="s">
        <v>392</v>
      </c>
      <c r="C205" s="4" t="s">
        <v>400</v>
      </c>
      <c r="D205">
        <v>1</v>
      </c>
      <c r="E205" t="s">
        <v>131</v>
      </c>
      <c r="F205" s="2">
        <v>45939</v>
      </c>
      <c r="G205" s="3">
        <v>46508</v>
      </c>
      <c r="H205" s="20">
        <v>794.31818181818176</v>
      </c>
      <c r="I205" s="20">
        <v>1146.8</v>
      </c>
      <c r="J205" s="20">
        <v>873.75</v>
      </c>
      <c r="K205" s="20">
        <v>847.54</v>
      </c>
      <c r="L205" s="23">
        <v>2.5</v>
      </c>
      <c r="M205" s="20">
        <v>21.19</v>
      </c>
      <c r="N205" s="23">
        <v>2.5</v>
      </c>
      <c r="O205" s="20">
        <v>21.19</v>
      </c>
      <c r="P205" s="20">
        <v>889.92</v>
      </c>
    </row>
    <row r="206" spans="1:16" x14ac:dyDescent="0.35">
      <c r="A206">
        <v>205</v>
      </c>
      <c r="B206" t="s">
        <v>410</v>
      </c>
      <c r="C206" s="4" t="s">
        <v>401</v>
      </c>
      <c r="D206">
        <v>1</v>
      </c>
      <c r="E206" t="s">
        <v>131</v>
      </c>
      <c r="F206" s="2">
        <v>45939</v>
      </c>
      <c r="G206" s="3">
        <v>46478</v>
      </c>
      <c r="H206" s="20">
        <v>43.636363636363633</v>
      </c>
      <c r="I206" s="20">
        <v>187.5</v>
      </c>
      <c r="J206" s="20">
        <v>48</v>
      </c>
      <c r="K206" s="20">
        <v>48</v>
      </c>
      <c r="L206" s="23">
        <v>2.5</v>
      </c>
      <c r="M206" s="20">
        <v>1.2</v>
      </c>
      <c r="N206" s="23">
        <v>2.5</v>
      </c>
      <c r="O206" s="20">
        <v>1.2</v>
      </c>
      <c r="P206" s="20">
        <v>50.4</v>
      </c>
    </row>
    <row r="207" spans="1:16" x14ac:dyDescent="0.35">
      <c r="A207">
        <v>206</v>
      </c>
      <c r="B207" t="s">
        <v>409</v>
      </c>
      <c r="C207" s="4" t="s">
        <v>402</v>
      </c>
      <c r="D207">
        <v>2</v>
      </c>
      <c r="E207" t="s">
        <v>131</v>
      </c>
      <c r="F207" s="2">
        <v>45939</v>
      </c>
      <c r="G207" s="3">
        <v>46508</v>
      </c>
      <c r="H207" s="20">
        <v>111.13636363636363</v>
      </c>
      <c r="I207" s="20">
        <v>160.44999999999999</v>
      </c>
      <c r="J207" s="20">
        <v>122.25</v>
      </c>
      <c r="K207" s="20">
        <v>237.17</v>
      </c>
      <c r="L207" s="23">
        <v>2.5</v>
      </c>
      <c r="M207" s="20">
        <v>5.93</v>
      </c>
      <c r="N207" s="23">
        <v>2.5</v>
      </c>
      <c r="O207" s="20">
        <v>5.93</v>
      </c>
      <c r="P207" s="20">
        <v>249.03</v>
      </c>
    </row>
    <row r="208" spans="1:16" x14ac:dyDescent="0.35">
      <c r="A208">
        <v>207</v>
      </c>
      <c r="B208" t="s">
        <v>393</v>
      </c>
      <c r="C208" s="4" t="s">
        <v>403</v>
      </c>
      <c r="D208">
        <v>1</v>
      </c>
      <c r="E208" t="s">
        <v>131</v>
      </c>
      <c r="F208" s="2">
        <v>45939</v>
      </c>
      <c r="G208" s="3">
        <v>46388</v>
      </c>
      <c r="H208" s="20">
        <v>54.54545454545454</v>
      </c>
      <c r="I208" s="20">
        <v>234</v>
      </c>
      <c r="J208" s="20">
        <v>60</v>
      </c>
      <c r="K208" s="20">
        <v>60</v>
      </c>
      <c r="L208" s="23">
        <v>2.5</v>
      </c>
      <c r="M208" s="20">
        <v>1.5</v>
      </c>
      <c r="N208" s="23">
        <v>2.5</v>
      </c>
      <c r="O208" s="20">
        <v>1.5</v>
      </c>
      <c r="P208" s="20">
        <v>63</v>
      </c>
    </row>
    <row r="209" spans="1:16" x14ac:dyDescent="0.35">
      <c r="A209">
        <v>208</v>
      </c>
      <c r="B209" t="s">
        <v>394</v>
      </c>
      <c r="C209" s="4" t="s">
        <v>404</v>
      </c>
      <c r="D209">
        <v>2</v>
      </c>
      <c r="E209" t="s">
        <v>131</v>
      </c>
      <c r="F209" s="2">
        <v>45939</v>
      </c>
      <c r="G209" s="3">
        <v>46508</v>
      </c>
      <c r="H209" s="20">
        <v>111.03636363636363</v>
      </c>
      <c r="I209" s="20">
        <v>160.31</v>
      </c>
      <c r="J209" s="20">
        <v>122.14</v>
      </c>
      <c r="K209" s="20">
        <v>236.95</v>
      </c>
      <c r="L209" s="23">
        <v>2.5</v>
      </c>
      <c r="M209" s="20">
        <v>5.92</v>
      </c>
      <c r="N209" s="23">
        <v>2.5</v>
      </c>
      <c r="O209" s="20">
        <v>5.92</v>
      </c>
      <c r="P209" s="20">
        <v>248.79</v>
      </c>
    </row>
    <row r="210" spans="1:16" x14ac:dyDescent="0.35">
      <c r="A210">
        <v>209</v>
      </c>
      <c r="B210" t="s">
        <v>395</v>
      </c>
      <c r="C210" s="4" t="s">
        <v>405</v>
      </c>
      <c r="D210">
        <v>1</v>
      </c>
      <c r="E210" t="s">
        <v>131</v>
      </c>
      <c r="F210" s="2">
        <v>45939</v>
      </c>
      <c r="G210" s="3">
        <v>46844</v>
      </c>
      <c r="H210" s="20">
        <v>35.927272727272729</v>
      </c>
      <c r="I210" s="20">
        <v>51.87</v>
      </c>
      <c r="J210" s="20">
        <v>39.520000000000003</v>
      </c>
      <c r="K210" s="20">
        <v>38.33</v>
      </c>
      <c r="L210" s="23">
        <v>2.5</v>
      </c>
      <c r="M210" s="20">
        <v>0.96</v>
      </c>
      <c r="N210" s="23">
        <v>2.5</v>
      </c>
      <c r="O210" s="20">
        <v>0.96</v>
      </c>
      <c r="P210" s="20">
        <v>40.25</v>
      </c>
    </row>
    <row r="211" spans="1:16" x14ac:dyDescent="0.35">
      <c r="A211">
        <v>210</v>
      </c>
      <c r="B211" t="s">
        <v>396</v>
      </c>
      <c r="C211" s="4" t="s">
        <v>406</v>
      </c>
      <c r="D211">
        <v>1</v>
      </c>
      <c r="E211" t="s">
        <v>131</v>
      </c>
      <c r="F211" s="2">
        <v>45939</v>
      </c>
      <c r="G211" s="3">
        <v>46905</v>
      </c>
      <c r="H211" s="20">
        <v>116.88181818181816</v>
      </c>
      <c r="I211" s="20">
        <v>168.75</v>
      </c>
      <c r="J211" s="20">
        <v>128.57</v>
      </c>
      <c r="K211" s="20">
        <v>124.71</v>
      </c>
      <c r="L211" s="23">
        <v>2.5</v>
      </c>
      <c r="M211" s="20">
        <v>3.12</v>
      </c>
      <c r="N211" s="23">
        <v>2.5</v>
      </c>
      <c r="O211" s="20">
        <v>3.12</v>
      </c>
      <c r="P211" s="20">
        <v>130.94999999999999</v>
      </c>
    </row>
    <row r="212" spans="1:16" x14ac:dyDescent="0.35">
      <c r="A212">
        <v>211</v>
      </c>
      <c r="B212" t="s">
        <v>397</v>
      </c>
      <c r="C212" s="4">
        <v>2508000903</v>
      </c>
      <c r="D212">
        <v>1</v>
      </c>
      <c r="E212" t="s">
        <v>131</v>
      </c>
      <c r="F212" s="2">
        <v>45939</v>
      </c>
      <c r="G212" s="3">
        <v>46539</v>
      </c>
      <c r="H212" s="20">
        <v>112.39999999999999</v>
      </c>
      <c r="I212" s="20">
        <v>162.28</v>
      </c>
      <c r="J212" s="20">
        <v>123.64</v>
      </c>
      <c r="K212" s="20">
        <v>119.93</v>
      </c>
      <c r="L212" s="23">
        <v>2.5</v>
      </c>
      <c r="M212" s="20">
        <v>3</v>
      </c>
      <c r="N212" s="23">
        <v>2.5</v>
      </c>
      <c r="O212" s="20">
        <v>3</v>
      </c>
      <c r="P212" s="20">
        <v>125.93</v>
      </c>
    </row>
    <row r="213" spans="1:16" x14ac:dyDescent="0.35">
      <c r="A213">
        <v>212</v>
      </c>
      <c r="B213" t="s">
        <v>398</v>
      </c>
      <c r="C213" s="4" t="s">
        <v>407</v>
      </c>
      <c r="D213">
        <v>1</v>
      </c>
      <c r="E213" t="s">
        <v>131</v>
      </c>
      <c r="F213" s="2">
        <v>45939</v>
      </c>
      <c r="G213" s="3">
        <v>46327</v>
      </c>
      <c r="H213" s="20">
        <v>252.70000000000002</v>
      </c>
      <c r="I213" s="20">
        <v>364.83</v>
      </c>
      <c r="J213" s="20">
        <v>277.97000000000003</v>
      </c>
      <c r="K213" s="20">
        <v>269.63</v>
      </c>
      <c r="L213" s="23">
        <v>2.5</v>
      </c>
      <c r="M213" s="20">
        <v>6.74</v>
      </c>
      <c r="N213" s="23">
        <v>2.5</v>
      </c>
      <c r="O213" s="20">
        <v>6.74</v>
      </c>
      <c r="P213" s="20">
        <v>283.11</v>
      </c>
    </row>
    <row r="214" spans="1:16" x14ac:dyDescent="0.35">
      <c r="A214">
        <v>213</v>
      </c>
      <c r="B214" t="s">
        <v>399</v>
      </c>
      <c r="C214" s="4" t="s">
        <v>408</v>
      </c>
      <c r="D214">
        <v>2</v>
      </c>
      <c r="E214" t="s">
        <v>131</v>
      </c>
      <c r="F214" s="2">
        <v>45939</v>
      </c>
      <c r="G214" s="3">
        <v>46447</v>
      </c>
      <c r="H214" s="20">
        <v>76.354545454545445</v>
      </c>
      <c r="I214" s="20">
        <v>129</v>
      </c>
      <c r="J214" s="20">
        <v>83.99</v>
      </c>
      <c r="K214" s="20">
        <v>167.98</v>
      </c>
      <c r="L214" s="23">
        <v>2.5</v>
      </c>
      <c r="M214" s="20">
        <v>4.2</v>
      </c>
      <c r="N214" s="23">
        <v>2.5</v>
      </c>
      <c r="O214" s="20">
        <v>4.2</v>
      </c>
      <c r="P214" s="20">
        <v>176.36</v>
      </c>
    </row>
    <row r="215" spans="1:16" x14ac:dyDescent="0.35">
      <c r="A215">
        <v>214</v>
      </c>
      <c r="B215" t="s">
        <v>411</v>
      </c>
      <c r="C215" s="4" t="s">
        <v>412</v>
      </c>
      <c r="D215">
        <v>1</v>
      </c>
      <c r="E215" t="s">
        <v>413</v>
      </c>
      <c r="F215" s="2">
        <v>45939</v>
      </c>
      <c r="G215" s="3">
        <v>46539</v>
      </c>
      <c r="H215" s="20">
        <v>2330.2909090909088</v>
      </c>
      <c r="I215" s="20">
        <v>3204.15</v>
      </c>
      <c r="J215" s="20">
        <v>2563.3200000000002</v>
      </c>
      <c r="K215" s="20">
        <v>2486.42</v>
      </c>
      <c r="L215" s="23">
        <v>2.5</v>
      </c>
      <c r="M215" s="20">
        <f>(P215-K215)/2</f>
        <v>62.159999999999854</v>
      </c>
      <c r="N215" s="23">
        <v>2.5</v>
      </c>
      <c r="O215" s="20">
        <f>(P215-K215)/2</f>
        <v>62.159999999999854</v>
      </c>
      <c r="P215" s="20">
        <v>2610.7399999999998</v>
      </c>
    </row>
    <row r="216" spans="1:16" x14ac:dyDescent="0.35">
      <c r="A216">
        <v>215</v>
      </c>
      <c r="B216" t="s">
        <v>414</v>
      </c>
      <c r="C216" s="4" t="s">
        <v>424</v>
      </c>
      <c r="D216">
        <v>1</v>
      </c>
      <c r="E216" t="s">
        <v>95</v>
      </c>
      <c r="F216" s="2">
        <v>45939</v>
      </c>
      <c r="G216" s="3">
        <v>46204</v>
      </c>
      <c r="H216" s="20">
        <v>687.87272727272716</v>
      </c>
      <c r="I216" s="20">
        <v>993.12</v>
      </c>
      <c r="J216" s="20">
        <v>756.66</v>
      </c>
      <c r="K216" s="20">
        <v>733.96</v>
      </c>
      <c r="L216" s="23">
        <v>2.5</v>
      </c>
      <c r="M216" s="20">
        <v>18.350000000000001</v>
      </c>
      <c r="N216" s="23">
        <v>2.5</v>
      </c>
      <c r="O216" s="20">
        <v>18.350000000000001</v>
      </c>
      <c r="P216" s="20">
        <v>770.66</v>
      </c>
    </row>
    <row r="217" spans="1:16" x14ac:dyDescent="0.35">
      <c r="A217">
        <v>216</v>
      </c>
      <c r="B217" t="s">
        <v>249</v>
      </c>
      <c r="C217" s="4" t="s">
        <v>258</v>
      </c>
      <c r="D217">
        <v>10</v>
      </c>
      <c r="E217" t="s">
        <v>95</v>
      </c>
      <c r="F217" s="2">
        <v>45939</v>
      </c>
      <c r="G217" s="3">
        <v>46508</v>
      </c>
      <c r="H217" s="20">
        <v>74.354545454545459</v>
      </c>
      <c r="I217" s="20">
        <v>107.34</v>
      </c>
      <c r="J217" s="20">
        <v>81.790000000000006</v>
      </c>
      <c r="K217" s="20">
        <v>793.36</v>
      </c>
      <c r="L217" s="23">
        <v>2.5</v>
      </c>
      <c r="M217" s="20">
        <v>19.78</v>
      </c>
      <c r="N217" s="23">
        <v>2.5</v>
      </c>
      <c r="O217" s="20">
        <v>19.78</v>
      </c>
      <c r="P217" s="20">
        <v>833.02</v>
      </c>
    </row>
    <row r="218" spans="1:16" x14ac:dyDescent="0.35">
      <c r="A218">
        <v>217</v>
      </c>
      <c r="B218" t="s">
        <v>415</v>
      </c>
      <c r="C218" s="4" t="s">
        <v>425</v>
      </c>
      <c r="D218">
        <v>1</v>
      </c>
      <c r="E218" t="s">
        <v>95</v>
      </c>
      <c r="F218" s="2">
        <v>45939</v>
      </c>
      <c r="G218" s="3">
        <v>46054</v>
      </c>
      <c r="H218" s="20">
        <v>22.027272727272727</v>
      </c>
      <c r="I218" s="20">
        <v>31.81</v>
      </c>
      <c r="J218" s="20">
        <v>24.23</v>
      </c>
      <c r="K218" s="20">
        <v>23.5</v>
      </c>
      <c r="L218" s="23">
        <v>2.5</v>
      </c>
      <c r="M218" s="20">
        <v>0.59</v>
      </c>
      <c r="N218" s="23">
        <v>2.5</v>
      </c>
      <c r="O218" s="20">
        <v>0.59</v>
      </c>
      <c r="P218" s="20">
        <v>24.68</v>
      </c>
    </row>
    <row r="219" spans="1:16" x14ac:dyDescent="0.35">
      <c r="A219">
        <v>218</v>
      </c>
      <c r="B219" t="s">
        <v>416</v>
      </c>
      <c r="C219" s="4" t="s">
        <v>426</v>
      </c>
      <c r="D219">
        <v>3</v>
      </c>
      <c r="E219" t="s">
        <v>95</v>
      </c>
      <c r="F219" s="2">
        <v>45939</v>
      </c>
      <c r="G219" s="3">
        <v>46447</v>
      </c>
      <c r="H219" s="20">
        <v>22.372727272727271</v>
      </c>
      <c r="I219" s="20">
        <v>32.299999999999997</v>
      </c>
      <c r="J219" s="20">
        <v>24.61</v>
      </c>
      <c r="K219" s="20">
        <v>71.62</v>
      </c>
      <c r="L219" s="23">
        <v>2.5</v>
      </c>
      <c r="M219" s="20">
        <v>1.79</v>
      </c>
      <c r="N219" s="23">
        <v>2.5</v>
      </c>
      <c r="O219" s="20">
        <v>1.79</v>
      </c>
      <c r="P219" s="20">
        <v>79.2</v>
      </c>
    </row>
    <row r="220" spans="1:16" x14ac:dyDescent="0.35">
      <c r="A220">
        <v>219</v>
      </c>
      <c r="B220" t="s">
        <v>417</v>
      </c>
      <c r="C220" s="4" t="s">
        <v>427</v>
      </c>
      <c r="D220">
        <v>4</v>
      </c>
      <c r="E220" t="s">
        <v>95</v>
      </c>
      <c r="F220" s="2">
        <v>45939</v>
      </c>
      <c r="G220" s="3">
        <v>46143</v>
      </c>
      <c r="H220" s="20">
        <v>94.154545454545442</v>
      </c>
      <c r="I220" s="20">
        <v>135.94</v>
      </c>
      <c r="J220" s="20">
        <v>103.57</v>
      </c>
      <c r="K220" s="20">
        <v>401.85</v>
      </c>
      <c r="L220" s="23">
        <v>2.5</v>
      </c>
      <c r="M220" s="20">
        <v>10.050000000000001</v>
      </c>
      <c r="N220" s="23">
        <v>2.5</v>
      </c>
      <c r="O220" s="20">
        <v>10.050000000000001</v>
      </c>
      <c r="P220" s="20">
        <v>421.96</v>
      </c>
    </row>
    <row r="221" spans="1:16" x14ac:dyDescent="0.35">
      <c r="A221">
        <v>220</v>
      </c>
      <c r="B221" t="s">
        <v>418</v>
      </c>
      <c r="C221" s="4" t="s">
        <v>428</v>
      </c>
      <c r="D221">
        <v>1</v>
      </c>
      <c r="E221" t="s">
        <v>95</v>
      </c>
      <c r="F221" s="2">
        <v>45939</v>
      </c>
      <c r="G221" s="3">
        <v>46357</v>
      </c>
      <c r="H221" s="20">
        <v>81.445454545454538</v>
      </c>
      <c r="I221" s="20">
        <v>132.15</v>
      </c>
      <c r="J221" s="20">
        <v>89.59</v>
      </c>
      <c r="K221" s="20">
        <v>86.9</v>
      </c>
      <c r="L221" s="23">
        <v>9</v>
      </c>
      <c r="M221" s="20">
        <v>7.92</v>
      </c>
      <c r="N221" s="23">
        <v>9</v>
      </c>
      <c r="O221" s="20">
        <v>7.92</v>
      </c>
      <c r="P221" s="20">
        <v>102.54</v>
      </c>
    </row>
    <row r="222" spans="1:16" x14ac:dyDescent="0.35">
      <c r="A222">
        <v>221</v>
      </c>
      <c r="B222" t="s">
        <v>419</v>
      </c>
      <c r="C222" s="4" t="s">
        <v>429</v>
      </c>
      <c r="D222">
        <v>2</v>
      </c>
      <c r="E222" t="s">
        <v>95</v>
      </c>
      <c r="F222" s="2">
        <v>45939</v>
      </c>
      <c r="G222" s="3">
        <v>46813</v>
      </c>
      <c r="H222" s="20">
        <v>124.34545454545453</v>
      </c>
      <c r="I222" s="20">
        <v>179.53</v>
      </c>
      <c r="J222" s="20">
        <v>136.78</v>
      </c>
      <c r="K222" s="20">
        <v>265.35000000000002</v>
      </c>
      <c r="L222" s="23">
        <v>2.5</v>
      </c>
      <c r="M222" s="20">
        <v>6.625</v>
      </c>
      <c r="N222" s="23">
        <v>2.5</v>
      </c>
      <c r="O222" s="20">
        <v>6.625</v>
      </c>
      <c r="P222" s="20">
        <v>278.81</v>
      </c>
    </row>
    <row r="223" spans="1:16" x14ac:dyDescent="0.35">
      <c r="A223">
        <v>222</v>
      </c>
      <c r="B223" t="s">
        <v>420</v>
      </c>
      <c r="C223" s="4" t="s">
        <v>430</v>
      </c>
      <c r="D223">
        <v>4</v>
      </c>
      <c r="E223" t="s">
        <v>95</v>
      </c>
      <c r="F223" s="2">
        <v>45939</v>
      </c>
      <c r="G223" s="3">
        <v>46539</v>
      </c>
      <c r="H223" s="20">
        <v>242.20909090909089</v>
      </c>
      <c r="I223" s="20">
        <v>349.69</v>
      </c>
      <c r="J223" s="20">
        <v>266.43</v>
      </c>
      <c r="K223" s="20">
        <v>917.46</v>
      </c>
      <c r="L223" s="23">
        <v>2.5</v>
      </c>
      <c r="M223" s="20">
        <v>22.94</v>
      </c>
      <c r="N223" s="23">
        <v>2.5</v>
      </c>
      <c r="O223" s="20">
        <v>22.94</v>
      </c>
      <c r="P223" s="20">
        <v>963.34</v>
      </c>
    </row>
    <row r="224" spans="1:16" x14ac:dyDescent="0.35">
      <c r="A224">
        <v>223</v>
      </c>
      <c r="B224" t="s">
        <v>421</v>
      </c>
      <c r="C224" s="4" t="s">
        <v>431</v>
      </c>
      <c r="D224">
        <v>1</v>
      </c>
      <c r="E224" t="s">
        <v>95</v>
      </c>
      <c r="F224" s="2">
        <v>45939</v>
      </c>
      <c r="G224" s="3">
        <v>47239</v>
      </c>
      <c r="H224" s="20">
        <v>20.563636363636363</v>
      </c>
      <c r="I224" s="20">
        <v>29.69</v>
      </c>
      <c r="J224" s="20">
        <v>22.62</v>
      </c>
      <c r="K224" s="20">
        <v>21.94</v>
      </c>
      <c r="L224" s="23">
        <v>2.5</v>
      </c>
      <c r="M224" s="20">
        <v>0.55000000000000004</v>
      </c>
      <c r="N224" s="23">
        <v>2.5</v>
      </c>
      <c r="O224" s="20">
        <v>0.55000000000000004</v>
      </c>
      <c r="P224" s="20">
        <v>23.04</v>
      </c>
    </row>
    <row r="225" spans="1:16" x14ac:dyDescent="0.35">
      <c r="A225">
        <v>224</v>
      </c>
      <c r="B225" t="s">
        <v>422</v>
      </c>
      <c r="C225" s="4" t="s">
        <v>432</v>
      </c>
      <c r="D225">
        <v>2</v>
      </c>
      <c r="E225" t="s">
        <v>95</v>
      </c>
      <c r="F225" s="2">
        <v>45939</v>
      </c>
      <c r="G225" s="3">
        <v>46753</v>
      </c>
      <c r="H225" s="20">
        <v>290.25454545454539</v>
      </c>
      <c r="I225" s="20">
        <v>419.06</v>
      </c>
      <c r="J225" s="20">
        <v>319.27999999999997</v>
      </c>
      <c r="K225" s="20">
        <v>619.4</v>
      </c>
      <c r="L225" s="23">
        <v>2.5</v>
      </c>
      <c r="M225" s="20">
        <v>15.49</v>
      </c>
      <c r="N225" s="23">
        <v>2.5</v>
      </c>
      <c r="O225" s="20">
        <v>15.49</v>
      </c>
      <c r="P225" s="20">
        <v>650.38</v>
      </c>
    </row>
    <row r="226" spans="1:16" x14ac:dyDescent="0.35">
      <c r="A226">
        <v>225</v>
      </c>
      <c r="B226" t="s">
        <v>423</v>
      </c>
      <c r="C226" s="4" t="s">
        <v>433</v>
      </c>
      <c r="D226">
        <v>2</v>
      </c>
      <c r="E226" t="s">
        <v>95</v>
      </c>
      <c r="F226" s="2">
        <v>45939</v>
      </c>
      <c r="G226" s="3">
        <v>46388</v>
      </c>
      <c r="H226" s="20">
        <v>1131.4909090909091</v>
      </c>
      <c r="I226" s="20">
        <v>1593.75</v>
      </c>
      <c r="J226" s="20">
        <v>1244.6400000000001</v>
      </c>
      <c r="K226" s="20">
        <v>2414.6</v>
      </c>
      <c r="L226" s="23">
        <v>2.5</v>
      </c>
      <c r="M226" s="20">
        <v>60.37</v>
      </c>
      <c r="N226" s="23">
        <v>2.5</v>
      </c>
      <c r="O226" s="20">
        <v>60.37</v>
      </c>
      <c r="P226" s="20">
        <v>2535.34</v>
      </c>
    </row>
    <row r="227" spans="1:16" x14ac:dyDescent="0.35">
      <c r="A227">
        <v>226</v>
      </c>
      <c r="B227" t="s">
        <v>330</v>
      </c>
      <c r="C227" t="s">
        <v>342</v>
      </c>
      <c r="D227">
        <v>1</v>
      </c>
      <c r="E227" t="s">
        <v>95</v>
      </c>
      <c r="F227" s="2">
        <v>45939</v>
      </c>
      <c r="G227" s="3">
        <v>46357</v>
      </c>
      <c r="H227" s="20">
        <v>69.181818181818173</v>
      </c>
      <c r="I227" s="20">
        <v>99.88</v>
      </c>
      <c r="J227" s="20">
        <v>76.099999999999994</v>
      </c>
      <c r="K227" s="20">
        <v>73.819999999999993</v>
      </c>
      <c r="L227" s="23">
        <v>2.5</v>
      </c>
      <c r="M227" s="20">
        <v>1.85</v>
      </c>
      <c r="N227" s="23">
        <v>2.5</v>
      </c>
      <c r="O227" s="20">
        <v>1.85</v>
      </c>
      <c r="P227" s="20">
        <v>77.52</v>
      </c>
    </row>
    <row r="228" spans="1:16" x14ac:dyDescent="0.35">
      <c r="A228">
        <v>227</v>
      </c>
      <c r="B228" t="s">
        <v>434</v>
      </c>
      <c r="C228" s="4" t="s">
        <v>435</v>
      </c>
      <c r="D228">
        <v>5</v>
      </c>
      <c r="E228" t="s">
        <v>436</v>
      </c>
      <c r="F228" s="2">
        <v>45940</v>
      </c>
      <c r="G228" s="3">
        <v>46447</v>
      </c>
      <c r="H228" s="20">
        <v>448.13636363636357</v>
      </c>
      <c r="I228" s="20">
        <v>647</v>
      </c>
      <c r="J228" s="20">
        <v>492.95</v>
      </c>
      <c r="K228" s="20">
        <v>2464.75</v>
      </c>
      <c r="L228" s="23">
        <v>2.5</v>
      </c>
      <c r="M228" s="20">
        <v>59.77</v>
      </c>
      <c r="N228" s="23">
        <v>2.5</v>
      </c>
      <c r="O228" s="20">
        <v>59.77</v>
      </c>
      <c r="P228" s="20">
        <v>2510.35</v>
      </c>
    </row>
    <row r="229" spans="1:16" x14ac:dyDescent="0.35">
      <c r="A229">
        <v>228</v>
      </c>
      <c r="B229" t="s">
        <v>437</v>
      </c>
      <c r="C229" s="4">
        <v>25070327</v>
      </c>
      <c r="D229">
        <v>5</v>
      </c>
      <c r="E229" t="s">
        <v>95</v>
      </c>
      <c r="F229" s="2">
        <v>45940</v>
      </c>
      <c r="G229" s="3">
        <v>46539</v>
      </c>
      <c r="H229" s="20">
        <v>84.090909090909079</v>
      </c>
      <c r="I229" s="20">
        <v>121.41</v>
      </c>
      <c r="J229" s="20">
        <v>92.5</v>
      </c>
      <c r="K229" s="20">
        <v>448.63</v>
      </c>
      <c r="L229" s="23">
        <v>2.5</v>
      </c>
      <c r="M229" s="20">
        <v>11.22</v>
      </c>
      <c r="N229" s="23">
        <v>2.5</v>
      </c>
      <c r="O229" s="20">
        <v>11.22</v>
      </c>
      <c r="P229" s="20">
        <v>471.07</v>
      </c>
    </row>
    <row r="230" spans="1:16" x14ac:dyDescent="0.35">
      <c r="A230">
        <v>229</v>
      </c>
      <c r="B230" t="s">
        <v>438</v>
      </c>
      <c r="C230" s="4" t="s">
        <v>450</v>
      </c>
      <c r="D230">
        <v>7</v>
      </c>
      <c r="E230" t="s">
        <v>95</v>
      </c>
      <c r="F230" s="2">
        <v>45940</v>
      </c>
      <c r="G230" s="3">
        <v>46082</v>
      </c>
      <c r="H230" s="20">
        <v>107.36363636363635</v>
      </c>
      <c r="I230" s="20">
        <v>155.02000000000001</v>
      </c>
      <c r="J230" s="20">
        <v>118.1</v>
      </c>
      <c r="K230" s="20">
        <v>801.9</v>
      </c>
      <c r="L230" s="23">
        <v>2.5</v>
      </c>
      <c r="M230" s="20">
        <v>20.05</v>
      </c>
      <c r="N230" s="23">
        <v>2.5</v>
      </c>
      <c r="O230" s="20">
        <v>20.05</v>
      </c>
      <c r="P230" s="20">
        <v>842</v>
      </c>
    </row>
    <row r="231" spans="1:16" x14ac:dyDescent="0.35">
      <c r="A231">
        <v>230</v>
      </c>
      <c r="B231" t="s">
        <v>439</v>
      </c>
      <c r="C231" s="4" t="s">
        <v>451</v>
      </c>
      <c r="D231">
        <v>7</v>
      </c>
      <c r="E231" t="s">
        <v>95</v>
      </c>
      <c r="F231" s="2">
        <v>45940</v>
      </c>
      <c r="G231" s="3">
        <v>47515</v>
      </c>
      <c r="H231" s="20">
        <v>172.1090909090909</v>
      </c>
      <c r="I231" s="20">
        <v>248.48</v>
      </c>
      <c r="J231" s="20">
        <v>189.32</v>
      </c>
      <c r="K231" s="20">
        <v>1285.48</v>
      </c>
      <c r="L231" s="23">
        <v>2.5</v>
      </c>
      <c r="M231" s="20">
        <v>32.14</v>
      </c>
      <c r="N231" s="23">
        <v>2.5</v>
      </c>
      <c r="O231" s="20">
        <v>32.14</v>
      </c>
      <c r="P231" s="20">
        <v>1349.76</v>
      </c>
    </row>
    <row r="232" spans="1:16" x14ac:dyDescent="0.35">
      <c r="A232">
        <v>231</v>
      </c>
      <c r="B232" t="s">
        <v>440</v>
      </c>
      <c r="C232" s="4" t="s">
        <v>452</v>
      </c>
      <c r="D232">
        <v>2</v>
      </c>
      <c r="E232" t="s">
        <v>95</v>
      </c>
      <c r="F232" s="2">
        <v>45940</v>
      </c>
      <c r="G232" s="3">
        <v>46874</v>
      </c>
      <c r="H232" s="20">
        <v>96.636363636363626</v>
      </c>
      <c r="I232" s="20">
        <v>139.52000000000001</v>
      </c>
      <c r="J232" s="20">
        <v>106.3</v>
      </c>
      <c r="K232" s="20">
        <v>206.22</v>
      </c>
      <c r="L232" s="23">
        <v>2.5</v>
      </c>
      <c r="M232" s="20">
        <v>5.16</v>
      </c>
      <c r="N232" s="23">
        <v>2.5</v>
      </c>
      <c r="O232" s="20">
        <v>5.16</v>
      </c>
      <c r="P232" s="20">
        <v>216.54</v>
      </c>
    </row>
    <row r="233" spans="1:16" x14ac:dyDescent="0.35">
      <c r="A233">
        <v>232</v>
      </c>
      <c r="B233" t="s">
        <v>441</v>
      </c>
      <c r="C233" s="4" t="s">
        <v>453</v>
      </c>
      <c r="D233">
        <v>1</v>
      </c>
      <c r="E233" t="s">
        <v>95</v>
      </c>
      <c r="F233" s="2">
        <v>45940</v>
      </c>
      <c r="G233" s="3">
        <v>46508</v>
      </c>
      <c r="H233" s="20">
        <v>348.95454545454544</v>
      </c>
      <c r="I233" s="20">
        <v>489.41</v>
      </c>
      <c r="J233" s="20">
        <v>383.85</v>
      </c>
      <c r="K233" s="20">
        <v>372.33</v>
      </c>
      <c r="L233" s="23">
        <v>2.5</v>
      </c>
      <c r="M233" s="20">
        <v>9.31</v>
      </c>
      <c r="N233" s="23">
        <v>2.5</v>
      </c>
      <c r="O233" s="20">
        <v>9.31</v>
      </c>
      <c r="P233" s="20">
        <v>390.95</v>
      </c>
    </row>
    <row r="234" spans="1:16" x14ac:dyDescent="0.35">
      <c r="A234">
        <v>233</v>
      </c>
      <c r="B234" t="s">
        <v>442</v>
      </c>
      <c r="C234" s="4" t="s">
        <v>454</v>
      </c>
      <c r="D234">
        <v>1</v>
      </c>
      <c r="E234" t="s">
        <v>95</v>
      </c>
      <c r="F234" s="2">
        <v>45940</v>
      </c>
      <c r="G234" s="3">
        <v>46753</v>
      </c>
      <c r="H234" s="20">
        <v>897.09090909090901</v>
      </c>
      <c r="I234" s="20">
        <v>1295.18</v>
      </c>
      <c r="J234" s="20">
        <v>986.8</v>
      </c>
      <c r="K234" s="20">
        <v>957.2</v>
      </c>
      <c r="L234" s="23">
        <v>2.5</v>
      </c>
      <c r="M234" s="20">
        <v>23.93</v>
      </c>
      <c r="N234" s="23">
        <v>2.5</v>
      </c>
      <c r="O234" s="20">
        <v>23.93</v>
      </c>
      <c r="P234" s="20">
        <v>1005.06</v>
      </c>
    </row>
    <row r="235" spans="1:16" x14ac:dyDescent="0.35">
      <c r="A235">
        <v>234</v>
      </c>
      <c r="B235" t="s">
        <v>443</v>
      </c>
      <c r="C235" s="4">
        <v>11250392</v>
      </c>
      <c r="D235">
        <v>7</v>
      </c>
      <c r="E235" t="s">
        <v>95</v>
      </c>
      <c r="F235" s="2">
        <v>45940</v>
      </c>
      <c r="G235" s="3">
        <v>46447</v>
      </c>
      <c r="H235" s="20">
        <v>109.41818181818181</v>
      </c>
      <c r="I235" s="20">
        <v>157.97</v>
      </c>
      <c r="J235" s="20">
        <v>120.36</v>
      </c>
      <c r="K235" s="20">
        <v>764.71</v>
      </c>
      <c r="L235" s="23">
        <v>2.5</v>
      </c>
      <c r="M235" s="20">
        <v>19.12</v>
      </c>
      <c r="N235" s="23">
        <v>2.5</v>
      </c>
      <c r="O235" s="20">
        <v>19.12</v>
      </c>
      <c r="P235" s="20">
        <v>802.95</v>
      </c>
    </row>
    <row r="236" spans="1:16" x14ac:dyDescent="0.35">
      <c r="A236">
        <v>235</v>
      </c>
      <c r="B236" t="s">
        <v>444</v>
      </c>
      <c r="C236" s="4" t="s">
        <v>455</v>
      </c>
      <c r="D236">
        <v>1</v>
      </c>
      <c r="E236" t="s">
        <v>95</v>
      </c>
      <c r="F236" s="2">
        <v>45940</v>
      </c>
      <c r="G236" s="3">
        <v>46419</v>
      </c>
      <c r="H236" s="20">
        <v>251.69090909090909</v>
      </c>
      <c r="I236" s="20">
        <v>351.56</v>
      </c>
      <c r="J236" s="20">
        <v>276.86</v>
      </c>
      <c r="K236" s="20">
        <v>259.82</v>
      </c>
      <c r="L236" s="23">
        <v>2.5</v>
      </c>
      <c r="M236" s="20">
        <v>6.5</v>
      </c>
      <c r="N236" s="23">
        <v>2.5</v>
      </c>
      <c r="O236" s="20">
        <v>6.5</v>
      </c>
      <c r="P236" s="20">
        <v>272.82</v>
      </c>
    </row>
    <row r="237" spans="1:16" x14ac:dyDescent="0.35">
      <c r="A237">
        <v>236</v>
      </c>
      <c r="B237" t="s">
        <v>445</v>
      </c>
      <c r="C237" s="4" t="s">
        <v>456</v>
      </c>
      <c r="D237">
        <v>5</v>
      </c>
      <c r="E237" t="s">
        <v>95</v>
      </c>
      <c r="F237" s="2">
        <v>45940</v>
      </c>
      <c r="G237" s="3">
        <v>46813</v>
      </c>
      <c r="H237" s="20">
        <v>19.845454545454544</v>
      </c>
      <c r="I237" s="20">
        <v>28.66</v>
      </c>
      <c r="J237" s="20">
        <v>21.83</v>
      </c>
      <c r="K237" s="20">
        <v>105.88</v>
      </c>
      <c r="L237" s="23">
        <v>2.5</v>
      </c>
      <c r="M237" s="20">
        <v>2.15</v>
      </c>
      <c r="N237" s="23">
        <v>2.5</v>
      </c>
      <c r="O237" s="20">
        <v>2.15</v>
      </c>
      <c r="P237" s="20">
        <v>111.18</v>
      </c>
    </row>
    <row r="238" spans="1:16" x14ac:dyDescent="0.35">
      <c r="A238">
        <v>237</v>
      </c>
      <c r="B238" t="s">
        <v>13</v>
      </c>
      <c r="C238" s="4" t="s">
        <v>457</v>
      </c>
      <c r="D238">
        <v>2</v>
      </c>
      <c r="E238" t="s">
        <v>95</v>
      </c>
      <c r="F238" s="2">
        <v>45940</v>
      </c>
      <c r="G238" s="3">
        <v>46419</v>
      </c>
      <c r="H238" s="20">
        <v>323.59090909090907</v>
      </c>
      <c r="I238" s="20">
        <v>525</v>
      </c>
      <c r="J238" s="20">
        <v>355.95</v>
      </c>
      <c r="K238" s="20">
        <v>690.54</v>
      </c>
      <c r="L238" s="23">
        <v>2.5</v>
      </c>
      <c r="M238" s="20">
        <v>62.15</v>
      </c>
      <c r="N238" s="23">
        <v>2.5</v>
      </c>
      <c r="O238" s="20">
        <v>62.15</v>
      </c>
      <c r="P238" s="20">
        <v>814.84</v>
      </c>
    </row>
    <row r="239" spans="1:16" x14ac:dyDescent="0.35">
      <c r="A239">
        <v>238</v>
      </c>
      <c r="B239" t="s">
        <v>1033</v>
      </c>
      <c r="C239" s="4">
        <v>303748</v>
      </c>
      <c r="D239">
        <v>1</v>
      </c>
      <c r="E239" t="s">
        <v>95</v>
      </c>
      <c r="F239" s="2">
        <v>45940</v>
      </c>
      <c r="G239" s="3">
        <v>46388</v>
      </c>
      <c r="H239" s="20">
        <v>807.16363636363633</v>
      </c>
      <c r="I239" s="20">
        <v>1115</v>
      </c>
      <c r="J239" s="20">
        <v>887.88</v>
      </c>
      <c r="K239" s="20">
        <v>861.24</v>
      </c>
      <c r="L239" s="23">
        <v>2.5</v>
      </c>
      <c r="M239" s="20">
        <v>21.53</v>
      </c>
      <c r="N239" s="23">
        <v>2.5</v>
      </c>
      <c r="O239" s="20">
        <v>21.53</v>
      </c>
      <c r="P239" s="20">
        <v>904.3</v>
      </c>
    </row>
    <row r="240" spans="1:16" x14ac:dyDescent="0.35">
      <c r="A240">
        <v>239</v>
      </c>
      <c r="B240" t="s">
        <v>1033</v>
      </c>
      <c r="C240" s="4">
        <v>303748</v>
      </c>
      <c r="D240">
        <v>1</v>
      </c>
      <c r="E240" t="s">
        <v>95</v>
      </c>
      <c r="F240" s="2">
        <v>45949</v>
      </c>
      <c r="G240" s="3">
        <v>46388</v>
      </c>
      <c r="H240" s="20">
        <v>807.16363636363633</v>
      </c>
      <c r="I240" s="20">
        <v>1115</v>
      </c>
      <c r="J240" s="20">
        <v>887.88</v>
      </c>
      <c r="K240" s="20">
        <v>861.24</v>
      </c>
      <c r="L240" s="23">
        <v>2.5</v>
      </c>
      <c r="M240" s="20">
        <v>21.53</v>
      </c>
      <c r="N240" s="23">
        <v>2.5</v>
      </c>
      <c r="O240" s="20">
        <v>21.53</v>
      </c>
      <c r="P240" s="20">
        <v>904.3</v>
      </c>
    </row>
    <row r="241" spans="1:16" x14ac:dyDescent="0.35">
      <c r="A241">
        <v>240</v>
      </c>
      <c r="B241" t="s">
        <v>447</v>
      </c>
      <c r="C241" t="s">
        <v>446</v>
      </c>
      <c r="D241">
        <v>1</v>
      </c>
      <c r="E241" t="s">
        <v>95</v>
      </c>
      <c r="F241" s="2">
        <v>45940</v>
      </c>
      <c r="G241" s="3">
        <v>46844</v>
      </c>
      <c r="H241" s="20">
        <v>65.25454545454545</v>
      </c>
      <c r="I241" s="20">
        <v>94.22</v>
      </c>
      <c r="J241" s="20">
        <v>71.78</v>
      </c>
      <c r="K241" s="20">
        <v>69.63</v>
      </c>
      <c r="L241" s="23">
        <v>2.5</v>
      </c>
      <c r="M241" s="20">
        <v>1.74</v>
      </c>
      <c r="N241" s="23">
        <v>2.5</v>
      </c>
      <c r="O241" s="20">
        <v>1.74</v>
      </c>
      <c r="P241" s="20">
        <v>73.11</v>
      </c>
    </row>
    <row r="242" spans="1:16" x14ac:dyDescent="0.35">
      <c r="A242">
        <v>241</v>
      </c>
      <c r="B242" t="s">
        <v>448</v>
      </c>
      <c r="C242" s="4" t="s">
        <v>458</v>
      </c>
      <c r="D242">
        <v>2</v>
      </c>
      <c r="E242" t="s">
        <v>95</v>
      </c>
      <c r="F242" s="2">
        <v>45940</v>
      </c>
      <c r="G242" s="3">
        <v>46447</v>
      </c>
      <c r="H242" s="20">
        <v>55.581818181818178</v>
      </c>
      <c r="I242" s="20">
        <v>80.25</v>
      </c>
      <c r="J242" s="20">
        <v>61.14</v>
      </c>
      <c r="K242" s="20">
        <v>118.51</v>
      </c>
      <c r="L242" s="23">
        <v>2.5</v>
      </c>
      <c r="M242" s="20">
        <v>2.97</v>
      </c>
      <c r="N242" s="23">
        <v>2.5</v>
      </c>
      <c r="O242" s="20">
        <v>2.97</v>
      </c>
      <c r="P242" s="20">
        <v>124.55</v>
      </c>
    </row>
    <row r="243" spans="1:16" x14ac:dyDescent="0.35">
      <c r="A243">
        <v>242</v>
      </c>
      <c r="B243" t="s">
        <v>449</v>
      </c>
      <c r="C243" s="4" t="s">
        <v>459</v>
      </c>
      <c r="D243">
        <v>5</v>
      </c>
      <c r="E243" t="s">
        <v>95</v>
      </c>
      <c r="F243" s="2">
        <v>45940</v>
      </c>
      <c r="G243" s="3">
        <v>46692</v>
      </c>
      <c r="H243" s="20">
        <v>77.86363636363636</v>
      </c>
      <c r="I243" s="20">
        <v>112.41</v>
      </c>
      <c r="J243" s="20">
        <v>85.65</v>
      </c>
      <c r="K243" s="20">
        <v>415.4</v>
      </c>
      <c r="L243" s="23">
        <v>2.5</v>
      </c>
      <c r="M243" s="20">
        <v>10.39</v>
      </c>
      <c r="N243" s="23">
        <v>2.5</v>
      </c>
      <c r="O243" s="20">
        <v>10.39</v>
      </c>
      <c r="P243" s="20">
        <v>436.18</v>
      </c>
    </row>
    <row r="244" spans="1:16" x14ac:dyDescent="0.35">
      <c r="A244">
        <v>243</v>
      </c>
      <c r="B244" t="s">
        <v>460</v>
      </c>
      <c r="C244" s="4" t="s">
        <v>472</v>
      </c>
      <c r="D244">
        <v>1</v>
      </c>
      <c r="E244" t="s">
        <v>37</v>
      </c>
      <c r="F244" s="2">
        <v>45941</v>
      </c>
      <c r="G244" s="3">
        <v>46844</v>
      </c>
      <c r="H244" s="20">
        <v>223.89090909090908</v>
      </c>
      <c r="I244" s="20">
        <v>323.25</v>
      </c>
      <c r="J244" s="20">
        <v>246.28</v>
      </c>
      <c r="K244" s="20">
        <v>238.89</v>
      </c>
      <c r="L244" s="23">
        <v>2.5</v>
      </c>
      <c r="M244" s="20">
        <v>5.97</v>
      </c>
      <c r="N244" s="23">
        <v>2.5</v>
      </c>
      <c r="O244" s="20">
        <v>5.97</v>
      </c>
      <c r="P244" s="20">
        <v>250.83</v>
      </c>
    </row>
    <row r="245" spans="1:16" x14ac:dyDescent="0.35">
      <c r="A245">
        <v>244</v>
      </c>
      <c r="B245" t="s">
        <v>461</v>
      </c>
      <c r="C245" s="4" t="s">
        <v>473</v>
      </c>
      <c r="D245">
        <v>1</v>
      </c>
      <c r="E245" t="s">
        <v>37</v>
      </c>
      <c r="F245" s="2">
        <v>45941</v>
      </c>
      <c r="G245" s="3">
        <v>46478</v>
      </c>
      <c r="H245" s="20">
        <v>391.37272727272722</v>
      </c>
      <c r="I245" s="20">
        <v>635</v>
      </c>
      <c r="J245" s="20">
        <v>430.51</v>
      </c>
      <c r="K245" s="20">
        <v>417.59</v>
      </c>
      <c r="L245" s="23">
        <v>9</v>
      </c>
      <c r="M245" s="20">
        <v>37.58</v>
      </c>
      <c r="N245" s="23">
        <v>9</v>
      </c>
      <c r="O245" s="20">
        <v>37.58</v>
      </c>
      <c r="P245" s="20">
        <v>492.75</v>
      </c>
    </row>
    <row r="246" spans="1:16" x14ac:dyDescent="0.35">
      <c r="A246">
        <v>245</v>
      </c>
      <c r="B246" t="s">
        <v>462</v>
      </c>
      <c r="C246" s="4" t="s">
        <v>474</v>
      </c>
      <c r="D246">
        <v>1</v>
      </c>
      <c r="E246" t="s">
        <v>37</v>
      </c>
      <c r="F246" s="2">
        <v>45941</v>
      </c>
      <c r="G246" s="3">
        <v>46508</v>
      </c>
      <c r="H246" s="20">
        <v>568.18181818181813</v>
      </c>
      <c r="I246" s="20">
        <v>820.31</v>
      </c>
      <c r="J246" s="20">
        <v>625</v>
      </c>
      <c r="K246" s="20">
        <v>606.25</v>
      </c>
      <c r="L246" s="23">
        <v>2.5</v>
      </c>
      <c r="M246" s="20">
        <v>15.16</v>
      </c>
      <c r="N246" s="23">
        <v>2.5</v>
      </c>
      <c r="O246" s="20">
        <v>15.16</v>
      </c>
      <c r="P246" s="20">
        <v>636.57000000000005</v>
      </c>
    </row>
    <row r="247" spans="1:16" x14ac:dyDescent="0.35">
      <c r="A247">
        <v>246</v>
      </c>
      <c r="B247" t="s">
        <v>463</v>
      </c>
      <c r="C247" s="4" t="s">
        <v>475</v>
      </c>
      <c r="D247">
        <v>3</v>
      </c>
      <c r="E247" t="s">
        <v>37</v>
      </c>
      <c r="F247" s="2">
        <v>45941</v>
      </c>
      <c r="G247" s="3">
        <v>46478</v>
      </c>
      <c r="H247" s="20">
        <v>264.40909090909093</v>
      </c>
      <c r="I247" s="20">
        <v>429</v>
      </c>
      <c r="J247" s="20">
        <v>290.85000000000002</v>
      </c>
      <c r="K247" s="20">
        <v>846.37</v>
      </c>
      <c r="L247" s="23">
        <v>9</v>
      </c>
      <c r="M247" s="20">
        <v>76.17</v>
      </c>
      <c r="N247" s="23">
        <v>9</v>
      </c>
      <c r="O247" s="20">
        <v>76.17</v>
      </c>
      <c r="P247" s="20">
        <v>998.71</v>
      </c>
    </row>
    <row r="248" spans="1:16" x14ac:dyDescent="0.35">
      <c r="A248">
        <v>247</v>
      </c>
      <c r="B248" t="s">
        <v>464</v>
      </c>
      <c r="C248" s="4" t="s">
        <v>476</v>
      </c>
      <c r="D248">
        <v>2</v>
      </c>
      <c r="E248" t="s">
        <v>37</v>
      </c>
      <c r="F248" s="2">
        <v>45941</v>
      </c>
      <c r="G248" s="3">
        <v>46539</v>
      </c>
      <c r="H248" s="20">
        <v>113.63636363636363</v>
      </c>
      <c r="I248" s="20">
        <v>164.06</v>
      </c>
      <c r="J248" s="20">
        <v>125</v>
      </c>
      <c r="K248" s="20">
        <v>242.5</v>
      </c>
      <c r="L248" s="23">
        <v>2.5</v>
      </c>
      <c r="M248" s="20">
        <v>6.06</v>
      </c>
      <c r="N248" s="23">
        <v>2.5</v>
      </c>
      <c r="O248" s="20">
        <v>6.06</v>
      </c>
      <c r="P248" s="20">
        <v>254.62</v>
      </c>
    </row>
    <row r="249" spans="1:16" x14ac:dyDescent="0.35">
      <c r="A249">
        <v>248</v>
      </c>
      <c r="B249" t="s">
        <v>18</v>
      </c>
      <c r="C249" s="4" t="s">
        <v>477</v>
      </c>
      <c r="D249">
        <v>1</v>
      </c>
      <c r="E249" t="s">
        <v>37</v>
      </c>
      <c r="F249" s="2">
        <v>45941</v>
      </c>
      <c r="G249" s="3">
        <v>46478</v>
      </c>
      <c r="H249" s="20">
        <v>246.09999999999997</v>
      </c>
      <c r="I249" s="20">
        <v>355.31</v>
      </c>
      <c r="J249" s="20">
        <v>270.70999999999998</v>
      </c>
      <c r="K249" s="20">
        <v>262.58999999999997</v>
      </c>
      <c r="L249" s="23">
        <v>2.5</v>
      </c>
      <c r="M249" s="20">
        <v>6.56</v>
      </c>
      <c r="N249" s="23">
        <v>2.5</v>
      </c>
      <c r="O249" s="20">
        <v>6.56</v>
      </c>
      <c r="P249" s="20">
        <v>275.70999999999998</v>
      </c>
    </row>
    <row r="250" spans="1:16" x14ac:dyDescent="0.35">
      <c r="A250">
        <v>249</v>
      </c>
      <c r="B250" t="s">
        <v>465</v>
      </c>
      <c r="C250" s="4" t="s">
        <v>452</v>
      </c>
      <c r="D250">
        <v>3</v>
      </c>
      <c r="E250" t="s">
        <v>37</v>
      </c>
      <c r="F250" s="2">
        <v>45941</v>
      </c>
      <c r="G250" s="3">
        <v>46874</v>
      </c>
      <c r="H250" s="20">
        <v>96.636363636363626</v>
      </c>
      <c r="I250" s="20">
        <v>139.52000000000001</v>
      </c>
      <c r="J250" s="20">
        <v>106.3</v>
      </c>
      <c r="K250" s="20">
        <v>309.33</v>
      </c>
      <c r="L250" s="23">
        <v>2.5</v>
      </c>
      <c r="M250" s="20">
        <v>7.73</v>
      </c>
      <c r="N250" s="23">
        <v>2.5</v>
      </c>
      <c r="O250" s="20">
        <v>7.73</v>
      </c>
      <c r="P250" s="20">
        <v>324.79000000000002</v>
      </c>
    </row>
    <row r="251" spans="1:16" x14ac:dyDescent="0.35">
      <c r="A251">
        <v>250</v>
      </c>
      <c r="B251" t="s">
        <v>466</v>
      </c>
      <c r="C251" s="4" t="s">
        <v>478</v>
      </c>
      <c r="D251">
        <v>1</v>
      </c>
      <c r="E251" t="s">
        <v>37</v>
      </c>
      <c r="F251" s="2">
        <v>45941</v>
      </c>
      <c r="G251" s="3">
        <v>46844</v>
      </c>
      <c r="H251" s="20">
        <v>64.281818181818167</v>
      </c>
      <c r="I251" s="20">
        <v>92.81</v>
      </c>
      <c r="J251" s="20">
        <v>70.709999999999994</v>
      </c>
      <c r="K251" s="20">
        <v>68.59</v>
      </c>
      <c r="L251" s="23">
        <v>2.5</v>
      </c>
      <c r="M251" s="20">
        <v>1.71</v>
      </c>
      <c r="N251" s="23">
        <v>2.5</v>
      </c>
      <c r="O251" s="20">
        <v>1.71</v>
      </c>
      <c r="P251" s="20">
        <v>72.010000000000005</v>
      </c>
    </row>
    <row r="252" spans="1:16" x14ac:dyDescent="0.35">
      <c r="A252">
        <v>251</v>
      </c>
      <c r="B252" t="s">
        <v>467</v>
      </c>
      <c r="C252" s="4" t="s">
        <v>479</v>
      </c>
      <c r="D252">
        <v>1</v>
      </c>
      <c r="E252" t="s">
        <v>37</v>
      </c>
      <c r="F252" s="2">
        <v>45941</v>
      </c>
      <c r="G252" s="3">
        <v>46539</v>
      </c>
      <c r="H252" s="20">
        <v>82.954545454545453</v>
      </c>
      <c r="I252" s="20">
        <v>119.77</v>
      </c>
      <c r="J252" s="20">
        <v>91.25</v>
      </c>
      <c r="K252" s="20">
        <v>88.51</v>
      </c>
      <c r="L252" s="23">
        <v>2.5</v>
      </c>
      <c r="M252" s="20">
        <v>2.21</v>
      </c>
      <c r="N252" s="23">
        <v>2.5</v>
      </c>
      <c r="O252" s="20">
        <v>2.21</v>
      </c>
      <c r="P252" s="20">
        <v>92.93</v>
      </c>
    </row>
    <row r="253" spans="1:16" x14ac:dyDescent="0.35">
      <c r="A253">
        <v>252</v>
      </c>
      <c r="B253" t="s">
        <v>468</v>
      </c>
      <c r="C253" s="4" t="s">
        <v>480</v>
      </c>
      <c r="D253">
        <v>4</v>
      </c>
      <c r="E253" t="s">
        <v>37</v>
      </c>
      <c r="F253" s="2">
        <v>45941</v>
      </c>
      <c r="G253" s="3">
        <v>46874</v>
      </c>
      <c r="H253" s="20">
        <v>53.890909090909091</v>
      </c>
      <c r="I253" s="20">
        <v>77.8</v>
      </c>
      <c r="J253" s="20">
        <v>59.28</v>
      </c>
      <c r="K253" s="20">
        <v>230.01</v>
      </c>
      <c r="L253" s="23">
        <v>2.5</v>
      </c>
      <c r="M253" s="20">
        <v>5.75</v>
      </c>
      <c r="N253" s="23">
        <v>2.5</v>
      </c>
      <c r="O253" s="20">
        <v>5.75</v>
      </c>
      <c r="P253" s="20">
        <v>241.51</v>
      </c>
    </row>
    <row r="254" spans="1:16" x14ac:dyDescent="0.35">
      <c r="A254">
        <v>253</v>
      </c>
      <c r="B254" t="s">
        <v>469</v>
      </c>
      <c r="C254" s="4" t="s">
        <v>481</v>
      </c>
      <c r="D254">
        <v>2</v>
      </c>
      <c r="E254" t="s">
        <v>37</v>
      </c>
      <c r="F254" s="2">
        <v>45941</v>
      </c>
      <c r="G254" s="3">
        <v>46600</v>
      </c>
      <c r="H254" s="20">
        <v>95.999999999999986</v>
      </c>
      <c r="I254" s="20">
        <v>132</v>
      </c>
      <c r="J254" s="20">
        <v>105.6</v>
      </c>
      <c r="K254" s="20">
        <v>206.98</v>
      </c>
      <c r="L254" s="23">
        <v>2.5</v>
      </c>
      <c r="M254" s="20">
        <v>5.17</v>
      </c>
      <c r="N254" s="23">
        <v>2.5</v>
      </c>
      <c r="O254" s="20">
        <v>5.17</v>
      </c>
      <c r="P254" s="20">
        <v>217.32</v>
      </c>
    </row>
    <row r="255" spans="1:16" x14ac:dyDescent="0.35">
      <c r="A255">
        <v>254</v>
      </c>
      <c r="B255" t="s">
        <v>470</v>
      </c>
      <c r="C255" s="4" t="s">
        <v>482</v>
      </c>
      <c r="D255">
        <v>5</v>
      </c>
      <c r="E255" t="s">
        <v>37</v>
      </c>
      <c r="F255" s="2">
        <v>45941</v>
      </c>
      <c r="G255" s="3">
        <v>46539</v>
      </c>
      <c r="H255" s="20">
        <v>107.7090909090909</v>
      </c>
      <c r="I255" s="20">
        <v>155.5</v>
      </c>
      <c r="J255" s="20">
        <v>118.48</v>
      </c>
      <c r="K255" s="20">
        <v>574.63</v>
      </c>
      <c r="L255" s="23">
        <v>2.5</v>
      </c>
      <c r="M255" s="20">
        <v>14.37</v>
      </c>
      <c r="N255" s="23">
        <v>2.5</v>
      </c>
      <c r="O255" s="20">
        <v>14.37</v>
      </c>
      <c r="P255" s="20">
        <v>603.37</v>
      </c>
    </row>
    <row r="256" spans="1:16" x14ac:dyDescent="0.35">
      <c r="A256">
        <v>255</v>
      </c>
      <c r="B256" t="s">
        <v>471</v>
      </c>
      <c r="C256" s="4" t="s">
        <v>483</v>
      </c>
      <c r="D256">
        <v>1</v>
      </c>
      <c r="E256" t="s">
        <v>37</v>
      </c>
      <c r="F256" s="2">
        <v>45941</v>
      </c>
      <c r="G256" s="3">
        <v>46508</v>
      </c>
      <c r="H256" s="20">
        <v>109.41818181818181</v>
      </c>
      <c r="I256" s="20">
        <v>157.97</v>
      </c>
      <c r="J256" s="20">
        <v>120.36</v>
      </c>
      <c r="K256" s="20">
        <v>116.75</v>
      </c>
      <c r="L256" s="23">
        <v>2.5</v>
      </c>
      <c r="M256" s="20">
        <v>2.92</v>
      </c>
      <c r="N256" s="23">
        <v>2.5</v>
      </c>
      <c r="O256" s="20">
        <v>2.92</v>
      </c>
      <c r="P256" s="20">
        <v>122.59</v>
      </c>
    </row>
    <row r="257" spans="1:16" x14ac:dyDescent="0.35">
      <c r="A257">
        <v>256</v>
      </c>
      <c r="B257" t="s">
        <v>484</v>
      </c>
      <c r="C257" s="4" t="s">
        <v>487</v>
      </c>
      <c r="D257">
        <v>1</v>
      </c>
      <c r="E257" t="s">
        <v>37</v>
      </c>
      <c r="F257" s="2">
        <v>45941</v>
      </c>
      <c r="G257" s="3">
        <v>46600</v>
      </c>
      <c r="H257" s="20">
        <v>30.981818181818177</v>
      </c>
      <c r="I257" s="20">
        <v>44.73</v>
      </c>
      <c r="J257" s="20">
        <v>34.08</v>
      </c>
      <c r="K257" s="20">
        <v>33.06</v>
      </c>
      <c r="L257" s="23">
        <v>2.5</v>
      </c>
      <c r="M257" s="20">
        <v>0.83</v>
      </c>
      <c r="N257" s="23">
        <v>2.5</v>
      </c>
      <c r="O257" s="20">
        <v>0.83</v>
      </c>
      <c r="P257" s="20">
        <v>34.72</v>
      </c>
    </row>
    <row r="258" spans="1:16" x14ac:dyDescent="0.35">
      <c r="A258">
        <v>257</v>
      </c>
      <c r="B258" t="s">
        <v>485</v>
      </c>
      <c r="C258" s="4" t="s">
        <v>488</v>
      </c>
      <c r="D258">
        <v>3</v>
      </c>
      <c r="E258" t="s">
        <v>37</v>
      </c>
      <c r="F258" s="2">
        <v>45941</v>
      </c>
      <c r="G258" s="3">
        <v>46569</v>
      </c>
      <c r="H258" s="20">
        <v>91.445454545454538</v>
      </c>
      <c r="I258" s="20">
        <v>132.02000000000001</v>
      </c>
      <c r="J258" s="20">
        <v>100.59</v>
      </c>
      <c r="K258" s="20">
        <v>292.72000000000003</v>
      </c>
      <c r="L258" s="23">
        <v>2.5</v>
      </c>
      <c r="M258" s="20">
        <v>7.32</v>
      </c>
      <c r="N258" s="23">
        <v>2.5</v>
      </c>
      <c r="O258" s="20">
        <v>7.32</v>
      </c>
      <c r="P258" s="20">
        <v>307.36</v>
      </c>
    </row>
    <row r="259" spans="1:16" x14ac:dyDescent="0.35">
      <c r="A259">
        <v>258</v>
      </c>
      <c r="B259" t="s">
        <v>486</v>
      </c>
      <c r="C259" s="4" t="s">
        <v>494</v>
      </c>
      <c r="D259">
        <v>1</v>
      </c>
      <c r="E259" t="s">
        <v>37</v>
      </c>
      <c r="F259" s="2">
        <v>45941</v>
      </c>
      <c r="G259" s="3">
        <v>46631</v>
      </c>
      <c r="H259" s="20">
        <v>131.91818181818181</v>
      </c>
      <c r="I259" s="20">
        <v>181.39</v>
      </c>
      <c r="J259" s="20">
        <v>145.11000000000001</v>
      </c>
      <c r="K259" s="20">
        <v>142.21</v>
      </c>
      <c r="L259" s="23">
        <v>2.5</v>
      </c>
      <c r="M259" s="20">
        <v>3.56</v>
      </c>
      <c r="N259" s="23">
        <v>2.5</v>
      </c>
      <c r="O259" s="20">
        <v>3.56</v>
      </c>
      <c r="P259" s="20">
        <v>149.33000000000001</v>
      </c>
    </row>
    <row r="260" spans="1:16" x14ac:dyDescent="0.35">
      <c r="A260">
        <v>259</v>
      </c>
      <c r="B260" t="s">
        <v>489</v>
      </c>
      <c r="C260" s="4" t="s">
        <v>495</v>
      </c>
      <c r="D260">
        <v>1</v>
      </c>
      <c r="E260" t="s">
        <v>95</v>
      </c>
      <c r="F260" s="2">
        <v>45941</v>
      </c>
      <c r="G260" s="3">
        <v>46143</v>
      </c>
      <c r="H260" s="20">
        <v>518.82727272727277</v>
      </c>
      <c r="I260" s="20">
        <v>799</v>
      </c>
      <c r="J260" s="20">
        <v>570.71</v>
      </c>
      <c r="K260" s="20">
        <v>553.59</v>
      </c>
      <c r="L260" s="23">
        <v>2.5</v>
      </c>
      <c r="M260" s="20">
        <v>13.84</v>
      </c>
      <c r="N260" s="23">
        <v>2.5</v>
      </c>
      <c r="O260" s="20">
        <v>13.84</v>
      </c>
      <c r="P260" s="20">
        <v>581.27</v>
      </c>
    </row>
    <row r="261" spans="1:16" x14ac:dyDescent="0.35">
      <c r="A261">
        <v>260</v>
      </c>
      <c r="B261" t="s">
        <v>490</v>
      </c>
      <c r="C261" s="4" t="s">
        <v>496</v>
      </c>
      <c r="D261">
        <v>1</v>
      </c>
      <c r="E261" t="s">
        <v>95</v>
      </c>
      <c r="F261" s="2">
        <v>45941</v>
      </c>
      <c r="G261" s="3">
        <v>46388</v>
      </c>
      <c r="H261" s="20">
        <v>226.6272727272727</v>
      </c>
      <c r="I261" s="20">
        <v>327.19</v>
      </c>
      <c r="J261" s="20">
        <v>249.29</v>
      </c>
      <c r="K261" s="20">
        <v>241.81</v>
      </c>
      <c r="L261" s="23">
        <v>2.5</v>
      </c>
      <c r="M261" s="20">
        <v>6.05</v>
      </c>
      <c r="N261" s="23">
        <v>2.5</v>
      </c>
      <c r="O261" s="20">
        <v>6.05</v>
      </c>
      <c r="P261" s="20">
        <v>253.91</v>
      </c>
    </row>
    <row r="262" spans="1:16" x14ac:dyDescent="0.35">
      <c r="A262">
        <v>261</v>
      </c>
      <c r="B262" t="s">
        <v>491</v>
      </c>
      <c r="C262" s="4">
        <v>48020402</v>
      </c>
      <c r="D262">
        <v>2</v>
      </c>
      <c r="E262" t="s">
        <v>95</v>
      </c>
      <c r="F262" s="2">
        <v>45941</v>
      </c>
      <c r="G262" s="3">
        <v>46722</v>
      </c>
      <c r="H262" s="20">
        <v>147.39999999999998</v>
      </c>
      <c r="I262" s="20">
        <v>212.81</v>
      </c>
      <c r="J262" s="20">
        <v>162.13999999999999</v>
      </c>
      <c r="K262" s="20">
        <v>314.55</v>
      </c>
      <c r="L262" s="23">
        <v>2.5</v>
      </c>
      <c r="M262" s="20">
        <v>7.86</v>
      </c>
      <c r="N262" s="23">
        <v>2.5</v>
      </c>
      <c r="O262" s="20">
        <v>7.86</v>
      </c>
      <c r="P262" s="20">
        <v>330.27</v>
      </c>
    </row>
    <row r="263" spans="1:16" x14ac:dyDescent="0.35">
      <c r="A263">
        <v>262</v>
      </c>
      <c r="B263" t="s">
        <v>492</v>
      </c>
      <c r="C263" s="4" t="s">
        <v>497</v>
      </c>
      <c r="D263">
        <v>1</v>
      </c>
      <c r="E263" t="s">
        <v>95</v>
      </c>
      <c r="F263" s="2">
        <v>45941</v>
      </c>
      <c r="G263" s="3">
        <v>46539</v>
      </c>
      <c r="H263" s="20">
        <v>64.936363636363637</v>
      </c>
      <c r="I263" s="20">
        <v>93.75</v>
      </c>
      <c r="J263" s="20">
        <v>71.430000000000007</v>
      </c>
      <c r="K263" s="20">
        <v>70</v>
      </c>
      <c r="L263" s="23">
        <v>2.5</v>
      </c>
      <c r="M263" s="20">
        <v>1.75</v>
      </c>
      <c r="N263" s="23">
        <v>2.5</v>
      </c>
      <c r="O263" s="20">
        <v>1.75</v>
      </c>
      <c r="P263" s="20">
        <v>73.5</v>
      </c>
    </row>
    <row r="264" spans="1:16" x14ac:dyDescent="0.35">
      <c r="A264">
        <v>263</v>
      </c>
      <c r="B264" t="s">
        <v>493</v>
      </c>
      <c r="C264" s="4" t="s">
        <v>498</v>
      </c>
      <c r="D264">
        <v>1</v>
      </c>
      <c r="E264" t="s">
        <v>95</v>
      </c>
      <c r="F264" s="2">
        <v>45941</v>
      </c>
      <c r="G264" s="3">
        <v>46388</v>
      </c>
      <c r="H264" s="20">
        <v>53.009090909090908</v>
      </c>
      <c r="I264" s="20">
        <v>76.540000000000006</v>
      </c>
      <c r="J264" s="20">
        <v>58.31</v>
      </c>
      <c r="K264" s="20">
        <v>56.56</v>
      </c>
      <c r="L264" s="23">
        <v>2.5</v>
      </c>
      <c r="M264" s="20">
        <v>1.41</v>
      </c>
      <c r="N264" s="23">
        <v>2.5</v>
      </c>
      <c r="O264" s="20">
        <v>1.41</v>
      </c>
      <c r="P264" s="20">
        <v>59.38</v>
      </c>
    </row>
    <row r="265" spans="1:16" x14ac:dyDescent="0.35">
      <c r="A265">
        <v>264</v>
      </c>
      <c r="B265" t="s">
        <v>499</v>
      </c>
      <c r="C265" s="4" t="s">
        <v>500</v>
      </c>
      <c r="D265">
        <v>5</v>
      </c>
      <c r="E265" t="s">
        <v>501</v>
      </c>
      <c r="F265" s="2">
        <v>45942</v>
      </c>
      <c r="G265" s="3">
        <v>46508</v>
      </c>
      <c r="H265" s="20">
        <v>369.18181818181819</v>
      </c>
      <c r="I265" s="20">
        <v>599</v>
      </c>
      <c r="J265" s="20">
        <v>406.1</v>
      </c>
      <c r="K265" s="20">
        <v>2030.5</v>
      </c>
      <c r="L265" s="23">
        <v>9</v>
      </c>
      <c r="M265" s="20">
        <v>177.26</v>
      </c>
      <c r="N265" s="23">
        <v>9</v>
      </c>
      <c r="O265" s="20">
        <v>177.26</v>
      </c>
      <c r="P265" s="20">
        <v>2324</v>
      </c>
    </row>
    <row r="266" spans="1:16" x14ac:dyDescent="0.35">
      <c r="A266">
        <v>265</v>
      </c>
      <c r="B266" t="s">
        <v>502</v>
      </c>
      <c r="C266" s="4" t="s">
        <v>512</v>
      </c>
      <c r="D266">
        <v>5</v>
      </c>
      <c r="E266" t="s">
        <v>95</v>
      </c>
      <c r="F266" s="2">
        <v>45942</v>
      </c>
      <c r="G266" s="3">
        <v>46844</v>
      </c>
      <c r="H266" s="20">
        <v>40.272727272727266</v>
      </c>
      <c r="I266" s="20">
        <v>58.15</v>
      </c>
      <c r="J266" s="20">
        <v>44.3</v>
      </c>
      <c r="K266" s="20">
        <v>214.66</v>
      </c>
      <c r="L266" s="23">
        <v>2.5</v>
      </c>
      <c r="M266" s="20">
        <v>5.37</v>
      </c>
      <c r="N266" s="23">
        <v>2.5</v>
      </c>
      <c r="O266" s="20">
        <v>5.37</v>
      </c>
      <c r="P266" s="20">
        <v>225.6</v>
      </c>
    </row>
    <row r="267" spans="1:16" x14ac:dyDescent="0.35">
      <c r="A267">
        <v>266</v>
      </c>
      <c r="B267" t="s">
        <v>503</v>
      </c>
      <c r="C267" s="4" t="s">
        <v>513</v>
      </c>
      <c r="D267">
        <v>1</v>
      </c>
      <c r="E267" t="s">
        <v>95</v>
      </c>
      <c r="F267" s="2">
        <v>45942</v>
      </c>
      <c r="G267" s="3">
        <v>46844</v>
      </c>
      <c r="H267" s="20">
        <v>292.20909090909089</v>
      </c>
      <c r="I267" s="20">
        <v>421.88</v>
      </c>
      <c r="J267" s="20">
        <v>321.43</v>
      </c>
      <c r="K267" s="20">
        <v>211.79</v>
      </c>
      <c r="L267" s="23">
        <v>2.5</v>
      </c>
      <c r="M267" s="20">
        <v>7.79</v>
      </c>
      <c r="N267" s="23">
        <v>2.5</v>
      </c>
      <c r="O267" s="20">
        <v>7.79</v>
      </c>
      <c r="P267" s="20">
        <v>327.37</v>
      </c>
    </row>
    <row r="268" spans="1:16" x14ac:dyDescent="0.35">
      <c r="A268">
        <v>267</v>
      </c>
      <c r="B268" t="s">
        <v>504</v>
      </c>
      <c r="C268" s="4" t="s">
        <v>514</v>
      </c>
      <c r="D268">
        <v>5</v>
      </c>
      <c r="E268" t="s">
        <v>95</v>
      </c>
      <c r="F268" s="2">
        <v>45942</v>
      </c>
      <c r="G268" s="3">
        <v>46478</v>
      </c>
      <c r="H268" s="20">
        <v>203.89999999999998</v>
      </c>
      <c r="I268" s="20">
        <v>294.38</v>
      </c>
      <c r="J268" s="20">
        <v>224.29</v>
      </c>
      <c r="K268" s="20">
        <v>989.9</v>
      </c>
      <c r="L268" s="23">
        <v>2.5</v>
      </c>
      <c r="M268" s="20">
        <v>24.75</v>
      </c>
      <c r="N268" s="23">
        <v>2.5</v>
      </c>
      <c r="O268" s="20">
        <v>24.75</v>
      </c>
      <c r="P268" s="20">
        <v>1039.4000000000001</v>
      </c>
    </row>
    <row r="269" spans="1:16" x14ac:dyDescent="0.35">
      <c r="A269">
        <v>268</v>
      </c>
      <c r="B269" t="s">
        <v>505</v>
      </c>
      <c r="C269" s="4" t="s">
        <v>515</v>
      </c>
      <c r="D269">
        <v>1</v>
      </c>
      <c r="E269" t="s">
        <v>95</v>
      </c>
      <c r="F269" s="2">
        <v>45942</v>
      </c>
      <c r="G269" s="3">
        <v>46539</v>
      </c>
      <c r="H269" s="20">
        <v>506.49090909090904</v>
      </c>
      <c r="I269" s="20">
        <v>731.25</v>
      </c>
      <c r="J269" s="20">
        <v>557.14</v>
      </c>
      <c r="K269" s="20">
        <v>540.42999999999995</v>
      </c>
      <c r="L269" s="23">
        <v>2.5</v>
      </c>
      <c r="M269" s="20">
        <v>13.51</v>
      </c>
      <c r="N269" s="23">
        <v>2.5</v>
      </c>
      <c r="O269" s="20">
        <v>13.51</v>
      </c>
      <c r="P269" s="20">
        <v>567.45000000000005</v>
      </c>
    </row>
    <row r="270" spans="1:16" x14ac:dyDescent="0.35">
      <c r="A270">
        <v>269</v>
      </c>
      <c r="B270" t="s">
        <v>506</v>
      </c>
      <c r="C270" s="4" t="s">
        <v>516</v>
      </c>
      <c r="D270">
        <v>1</v>
      </c>
      <c r="E270" t="s">
        <v>95</v>
      </c>
      <c r="F270" s="2">
        <v>45942</v>
      </c>
      <c r="G270" s="3">
        <v>46388</v>
      </c>
      <c r="H270" s="20">
        <v>180.58181818181816</v>
      </c>
      <c r="I270" s="20">
        <v>293</v>
      </c>
      <c r="J270" s="20">
        <v>198.64</v>
      </c>
      <c r="K270" s="20">
        <v>192.68</v>
      </c>
      <c r="L270" s="23">
        <v>9</v>
      </c>
      <c r="M270" s="20">
        <v>17.34</v>
      </c>
      <c r="N270" s="23">
        <v>9</v>
      </c>
      <c r="O270" s="20">
        <v>17.34</v>
      </c>
      <c r="P270" s="20">
        <v>227.36</v>
      </c>
    </row>
    <row r="271" spans="1:16" x14ac:dyDescent="0.35">
      <c r="A271">
        <v>270</v>
      </c>
      <c r="B271" t="s">
        <v>507</v>
      </c>
      <c r="C271" s="4" t="s">
        <v>517</v>
      </c>
      <c r="D271">
        <v>1</v>
      </c>
      <c r="E271" t="s">
        <v>95</v>
      </c>
      <c r="F271" s="2">
        <v>45942</v>
      </c>
      <c r="G271" s="3">
        <v>46174</v>
      </c>
      <c r="H271" s="20">
        <v>110.93636363636362</v>
      </c>
      <c r="I271" s="20">
        <v>160.16999999999999</v>
      </c>
      <c r="J271" s="20">
        <v>122.03</v>
      </c>
      <c r="K271" s="20">
        <v>118.37</v>
      </c>
      <c r="L271" s="23">
        <v>2.5</v>
      </c>
      <c r="M271" s="20">
        <v>2.96</v>
      </c>
      <c r="N271" s="23">
        <v>2.5</v>
      </c>
      <c r="O271" s="20">
        <v>2.96</v>
      </c>
      <c r="P271" s="20">
        <v>124.29</v>
      </c>
    </row>
    <row r="272" spans="1:16" x14ac:dyDescent="0.35">
      <c r="A272">
        <v>271</v>
      </c>
      <c r="B272" t="s">
        <v>508</v>
      </c>
      <c r="C272" s="4" t="s">
        <v>518</v>
      </c>
      <c r="D272">
        <v>2</v>
      </c>
      <c r="E272" t="s">
        <v>95</v>
      </c>
      <c r="F272" s="2">
        <v>45942</v>
      </c>
      <c r="G272" s="3">
        <v>47178</v>
      </c>
      <c r="H272" s="20">
        <v>13.009090909090908</v>
      </c>
      <c r="I272" s="20">
        <v>17.43</v>
      </c>
      <c r="J272" s="20">
        <v>14.31</v>
      </c>
      <c r="K272" s="20">
        <v>27.76</v>
      </c>
      <c r="L272" s="23">
        <v>2.5</v>
      </c>
      <c r="M272" s="20">
        <v>0.69</v>
      </c>
      <c r="N272" s="23">
        <v>2.5</v>
      </c>
      <c r="O272" s="20">
        <v>0.69</v>
      </c>
      <c r="P272" s="20">
        <v>29.14</v>
      </c>
    </row>
    <row r="273" spans="1:16" x14ac:dyDescent="0.35">
      <c r="A273">
        <v>272</v>
      </c>
      <c r="B273" t="s">
        <v>509</v>
      </c>
      <c r="C273" s="4">
        <v>1250705</v>
      </c>
      <c r="D273">
        <v>1</v>
      </c>
      <c r="E273" t="s">
        <v>95</v>
      </c>
      <c r="F273" s="2">
        <v>45942</v>
      </c>
      <c r="G273" s="3">
        <v>46508</v>
      </c>
      <c r="H273" s="20">
        <v>236.5545454545454</v>
      </c>
      <c r="I273" s="20">
        <v>341.53</v>
      </c>
      <c r="J273" s="20">
        <v>260.20999999999998</v>
      </c>
      <c r="K273" s="20">
        <v>252.4</v>
      </c>
      <c r="L273" s="23">
        <v>2.5</v>
      </c>
      <c r="M273" s="20">
        <v>6.31</v>
      </c>
      <c r="N273" s="23">
        <v>2.5</v>
      </c>
      <c r="O273" s="20">
        <v>6.31</v>
      </c>
      <c r="P273" s="20">
        <v>265.02</v>
      </c>
    </row>
    <row r="274" spans="1:16" x14ac:dyDescent="0.35">
      <c r="A274">
        <v>273</v>
      </c>
      <c r="B274" t="s">
        <v>510</v>
      </c>
      <c r="C274" s="4" t="s">
        <v>519</v>
      </c>
      <c r="D274">
        <v>1</v>
      </c>
      <c r="E274" t="s">
        <v>95</v>
      </c>
      <c r="F274" s="2">
        <v>45942</v>
      </c>
      <c r="G274" s="3">
        <v>46569</v>
      </c>
      <c r="H274" s="20">
        <v>166.96363636363634</v>
      </c>
      <c r="I274" s="20">
        <v>241.05</v>
      </c>
      <c r="J274" s="20">
        <v>183.66</v>
      </c>
      <c r="K274" s="20">
        <v>178.15</v>
      </c>
      <c r="L274" s="23">
        <v>2.5</v>
      </c>
      <c r="M274" s="20">
        <v>4.45</v>
      </c>
      <c r="N274" s="23">
        <v>2.5</v>
      </c>
      <c r="O274" s="20">
        <v>4.45</v>
      </c>
      <c r="P274" s="20">
        <v>187.05</v>
      </c>
    </row>
    <row r="275" spans="1:16" x14ac:dyDescent="0.35">
      <c r="A275">
        <v>274</v>
      </c>
      <c r="B275" t="s">
        <v>511</v>
      </c>
      <c r="C275" s="4" t="s">
        <v>520</v>
      </c>
      <c r="D275">
        <v>2</v>
      </c>
      <c r="E275" t="s">
        <v>95</v>
      </c>
      <c r="F275" s="2">
        <v>45942</v>
      </c>
      <c r="G275" s="3">
        <v>46661</v>
      </c>
      <c r="H275" s="20">
        <v>60.645454545454534</v>
      </c>
      <c r="I275" s="20">
        <v>82.08</v>
      </c>
      <c r="J275" s="20">
        <v>66.709999999999994</v>
      </c>
      <c r="K275" s="20">
        <v>129.41999999999999</v>
      </c>
      <c r="L275" s="23">
        <v>2.5</v>
      </c>
      <c r="M275" s="20">
        <v>3.24</v>
      </c>
      <c r="N275" s="23">
        <v>2.5</v>
      </c>
      <c r="O275" s="20">
        <v>3.24</v>
      </c>
      <c r="P275" s="20">
        <v>135.9</v>
      </c>
    </row>
    <row r="276" spans="1:16" x14ac:dyDescent="0.35">
      <c r="A276">
        <v>275</v>
      </c>
      <c r="B276" t="s">
        <v>521</v>
      </c>
      <c r="C276" s="4" t="s">
        <v>522</v>
      </c>
      <c r="D276">
        <v>5</v>
      </c>
      <c r="E276" t="s">
        <v>141</v>
      </c>
      <c r="F276" s="2">
        <v>45942</v>
      </c>
      <c r="G276" s="3">
        <v>46388</v>
      </c>
      <c r="H276" s="20">
        <v>369.18181818181819</v>
      </c>
      <c r="I276" s="20">
        <v>599</v>
      </c>
      <c r="J276" s="20">
        <v>406.1</v>
      </c>
      <c r="K276" s="20">
        <v>2030</v>
      </c>
      <c r="L276" s="23">
        <v>9</v>
      </c>
      <c r="M276" s="20">
        <v>177.26</v>
      </c>
      <c r="N276" s="23">
        <v>9</v>
      </c>
      <c r="O276" s="20">
        <v>177.26</v>
      </c>
      <c r="P276" s="20">
        <v>2324</v>
      </c>
    </row>
    <row r="277" spans="1:16" x14ac:dyDescent="0.35">
      <c r="A277">
        <v>276</v>
      </c>
      <c r="B277" t="s">
        <v>523</v>
      </c>
      <c r="C277" s="4" t="s">
        <v>534</v>
      </c>
      <c r="D277">
        <v>3</v>
      </c>
      <c r="E277" t="s">
        <v>37</v>
      </c>
      <c r="F277" s="2">
        <v>45943</v>
      </c>
      <c r="G277" s="3">
        <v>46478</v>
      </c>
      <c r="H277" s="20">
        <v>45.172727272727265</v>
      </c>
      <c r="I277" s="20">
        <v>65.22</v>
      </c>
      <c r="J277" s="20">
        <v>49.69</v>
      </c>
      <c r="K277" s="20">
        <v>144.6</v>
      </c>
      <c r="L277" s="23">
        <v>2.5</v>
      </c>
      <c r="M277" s="20">
        <v>3.62</v>
      </c>
      <c r="N277" s="23">
        <v>2.5</v>
      </c>
      <c r="O277" s="20">
        <v>3.62</v>
      </c>
      <c r="P277" s="20">
        <v>151.80000000000001</v>
      </c>
    </row>
    <row r="278" spans="1:16" x14ac:dyDescent="0.35">
      <c r="A278">
        <v>277</v>
      </c>
      <c r="B278" t="s">
        <v>524</v>
      </c>
      <c r="C278" s="4" t="s">
        <v>535</v>
      </c>
      <c r="D278">
        <v>6</v>
      </c>
      <c r="E278" t="s">
        <v>37</v>
      </c>
      <c r="F278" s="2">
        <v>45943</v>
      </c>
      <c r="G278" s="3">
        <v>46784</v>
      </c>
      <c r="H278" s="20">
        <v>156.21818181818182</v>
      </c>
      <c r="I278" s="20">
        <v>225.53</v>
      </c>
      <c r="J278" s="20">
        <v>171.84</v>
      </c>
      <c r="K278" s="20">
        <v>1000.11</v>
      </c>
      <c r="L278" s="23">
        <v>2.5</v>
      </c>
      <c r="M278" s="20">
        <v>25</v>
      </c>
      <c r="N278" s="23">
        <v>2.5</v>
      </c>
      <c r="O278" s="20">
        <v>25</v>
      </c>
      <c r="P278" s="20">
        <v>1050.0999999999999</v>
      </c>
    </row>
    <row r="279" spans="1:16" x14ac:dyDescent="0.35">
      <c r="A279">
        <v>278</v>
      </c>
      <c r="B279" t="s">
        <v>525</v>
      </c>
      <c r="C279" s="4" t="s">
        <v>536</v>
      </c>
      <c r="D279">
        <v>1</v>
      </c>
      <c r="E279" t="s">
        <v>37</v>
      </c>
      <c r="F279" s="2">
        <v>45943</v>
      </c>
      <c r="G279" s="3">
        <v>46296</v>
      </c>
      <c r="H279" s="20">
        <v>84</v>
      </c>
      <c r="I279" s="20">
        <v>115.5</v>
      </c>
      <c r="J279" s="20">
        <v>92.4</v>
      </c>
      <c r="K279" s="20">
        <v>89.63</v>
      </c>
      <c r="L279" s="23">
        <v>2.5</v>
      </c>
      <c r="M279" s="20">
        <v>2.2400000000000002</v>
      </c>
      <c r="N279" s="23">
        <v>2.5</v>
      </c>
      <c r="O279" s="20">
        <v>2.2400000000000002</v>
      </c>
      <c r="P279" s="20">
        <v>94.1</v>
      </c>
    </row>
    <row r="280" spans="1:16" x14ac:dyDescent="0.35">
      <c r="A280">
        <v>279</v>
      </c>
      <c r="B280" t="s">
        <v>526</v>
      </c>
      <c r="C280" s="4" t="s">
        <v>537</v>
      </c>
      <c r="D280">
        <v>1</v>
      </c>
      <c r="E280" t="s">
        <v>37</v>
      </c>
      <c r="F280" s="2">
        <v>45943</v>
      </c>
      <c r="G280" s="3">
        <v>46539</v>
      </c>
      <c r="H280" s="20">
        <v>426.49999999999994</v>
      </c>
      <c r="I280" s="20">
        <v>692</v>
      </c>
      <c r="J280" s="20">
        <v>469.15</v>
      </c>
      <c r="K280" s="20">
        <v>455.08</v>
      </c>
      <c r="L280" s="23">
        <v>9</v>
      </c>
      <c r="M280" s="20">
        <v>40.96</v>
      </c>
      <c r="N280" s="23">
        <v>9</v>
      </c>
      <c r="O280" s="20">
        <v>40.96</v>
      </c>
      <c r="P280" s="20">
        <v>537</v>
      </c>
    </row>
    <row r="281" spans="1:16" x14ac:dyDescent="0.35">
      <c r="A281">
        <v>280</v>
      </c>
      <c r="B281" t="s">
        <v>527</v>
      </c>
      <c r="C281" s="4" t="s">
        <v>538</v>
      </c>
      <c r="D281">
        <v>1</v>
      </c>
      <c r="E281" t="s">
        <v>37</v>
      </c>
      <c r="F281" s="2">
        <v>45943</v>
      </c>
      <c r="G281" s="3">
        <v>46539</v>
      </c>
      <c r="H281" s="20">
        <v>350.36363636363632</v>
      </c>
      <c r="I281" s="20">
        <v>505.84</v>
      </c>
      <c r="J281" s="20">
        <v>385.4</v>
      </c>
      <c r="K281" s="20">
        <v>373.84</v>
      </c>
      <c r="L281" s="23">
        <v>2.5</v>
      </c>
      <c r="M281" s="20">
        <v>9.35</v>
      </c>
      <c r="N281" s="23">
        <v>2.5</v>
      </c>
      <c r="O281" s="20">
        <v>9.35</v>
      </c>
      <c r="P281" s="20">
        <v>392</v>
      </c>
    </row>
    <row r="282" spans="1:16" x14ac:dyDescent="0.35">
      <c r="A282">
        <v>281</v>
      </c>
      <c r="B282" t="s">
        <v>528</v>
      </c>
      <c r="C282" s="4" t="s">
        <v>539</v>
      </c>
      <c r="D282">
        <v>1</v>
      </c>
      <c r="E282" t="s">
        <v>37</v>
      </c>
      <c r="F282" s="2">
        <v>45943</v>
      </c>
      <c r="G282" s="3">
        <v>46569</v>
      </c>
      <c r="H282" s="20">
        <v>147.29999999999998</v>
      </c>
      <c r="I282" s="20">
        <v>212.67</v>
      </c>
      <c r="J282" s="20">
        <v>162.03</v>
      </c>
      <c r="K282" s="20">
        <v>157.16999999999999</v>
      </c>
      <c r="L282" s="23">
        <v>9</v>
      </c>
      <c r="M282" s="20">
        <v>14.15</v>
      </c>
      <c r="N282" s="23">
        <v>9</v>
      </c>
      <c r="O282" s="20">
        <v>14.15</v>
      </c>
      <c r="P282" s="20">
        <v>185.4</v>
      </c>
    </row>
    <row r="283" spans="1:16" x14ac:dyDescent="0.35">
      <c r="A283">
        <v>282</v>
      </c>
      <c r="B283" t="s">
        <v>529</v>
      </c>
      <c r="C283" s="4" t="s">
        <v>540</v>
      </c>
      <c r="D283">
        <v>2</v>
      </c>
      <c r="E283" t="s">
        <v>37</v>
      </c>
      <c r="F283" s="2">
        <v>45943</v>
      </c>
      <c r="G283" s="3">
        <v>46569</v>
      </c>
      <c r="H283" s="20">
        <v>147.29999999999998</v>
      </c>
      <c r="I283" s="20">
        <v>239</v>
      </c>
      <c r="J283" s="20">
        <v>162.03</v>
      </c>
      <c r="K283" s="20">
        <v>157.16999999999999</v>
      </c>
      <c r="L283" s="23">
        <v>9</v>
      </c>
      <c r="M283" s="20">
        <v>14.15</v>
      </c>
      <c r="N283" s="23">
        <v>9</v>
      </c>
      <c r="O283" s="20">
        <v>14.15</v>
      </c>
      <c r="P283" s="20">
        <v>185.4</v>
      </c>
    </row>
    <row r="284" spans="1:16" x14ac:dyDescent="0.35">
      <c r="A284">
        <v>283</v>
      </c>
      <c r="B284" t="s">
        <v>200</v>
      </c>
      <c r="C284" s="4" t="s">
        <v>541</v>
      </c>
      <c r="D284">
        <v>1</v>
      </c>
      <c r="E284" t="s">
        <v>37</v>
      </c>
      <c r="F284" s="2">
        <v>45943</v>
      </c>
      <c r="G284" s="3">
        <v>47331</v>
      </c>
      <c r="H284" s="20">
        <v>164.93636363636364</v>
      </c>
      <c r="I284" s="20">
        <v>238.13</v>
      </c>
      <c r="J284" s="20">
        <v>181.43</v>
      </c>
      <c r="K284" s="20">
        <v>351.97</v>
      </c>
      <c r="L284" s="23">
        <v>2.5</v>
      </c>
      <c r="M284" s="20">
        <v>8.8000000000000007</v>
      </c>
      <c r="N284" s="23">
        <v>2.5</v>
      </c>
      <c r="O284" s="20">
        <v>8.8000000000000007</v>
      </c>
      <c r="P284" s="20">
        <v>369.5</v>
      </c>
    </row>
    <row r="285" spans="1:16" x14ac:dyDescent="0.35">
      <c r="A285">
        <v>284</v>
      </c>
      <c r="B285" t="s">
        <v>530</v>
      </c>
      <c r="C285" s="4" t="s">
        <v>542</v>
      </c>
      <c r="D285">
        <v>1</v>
      </c>
      <c r="E285" t="s">
        <v>37</v>
      </c>
      <c r="F285" s="2">
        <v>45943</v>
      </c>
      <c r="G285" s="3">
        <v>46357</v>
      </c>
      <c r="H285" s="20">
        <v>116.94545454545452</v>
      </c>
      <c r="I285" s="20">
        <v>168.84</v>
      </c>
      <c r="J285" s="20">
        <v>128.63999999999999</v>
      </c>
      <c r="K285" s="20">
        <v>124.78</v>
      </c>
      <c r="L285" s="23">
        <v>2.5</v>
      </c>
      <c r="M285" s="20">
        <v>3.12</v>
      </c>
      <c r="N285" s="23">
        <v>2.5</v>
      </c>
      <c r="O285" s="20">
        <v>3.12</v>
      </c>
      <c r="P285" s="20">
        <v>131</v>
      </c>
    </row>
    <row r="286" spans="1:16" x14ac:dyDescent="0.35">
      <c r="A286">
        <v>285</v>
      </c>
      <c r="B286" t="s">
        <v>531</v>
      </c>
      <c r="C286" s="4" t="s">
        <v>543</v>
      </c>
      <c r="D286">
        <v>1</v>
      </c>
      <c r="E286" t="s">
        <v>37</v>
      </c>
      <c r="F286" s="2">
        <v>45943</v>
      </c>
      <c r="G286" s="3">
        <v>46874</v>
      </c>
      <c r="H286" s="20">
        <v>457.9</v>
      </c>
      <c r="I286" s="20">
        <v>661.09</v>
      </c>
      <c r="J286" s="20">
        <v>503.69</v>
      </c>
      <c r="K286" s="20">
        <v>488.58</v>
      </c>
      <c r="L286" s="23">
        <v>2.5</v>
      </c>
      <c r="M286" s="20">
        <v>12.21</v>
      </c>
      <c r="N286" s="23">
        <v>2.5</v>
      </c>
      <c r="O286" s="20">
        <v>12.21</v>
      </c>
      <c r="P286" s="20">
        <v>513</v>
      </c>
    </row>
    <row r="287" spans="1:16" x14ac:dyDescent="0.35">
      <c r="A287">
        <v>286</v>
      </c>
      <c r="B287" t="s">
        <v>532</v>
      </c>
      <c r="C287" s="4" t="s">
        <v>544</v>
      </c>
      <c r="D287">
        <v>2</v>
      </c>
      <c r="E287" t="s">
        <v>37</v>
      </c>
      <c r="F287" s="2">
        <v>45943</v>
      </c>
      <c r="G287" s="3">
        <v>46478</v>
      </c>
      <c r="H287" s="20">
        <v>55.272727272727266</v>
      </c>
      <c r="I287" s="20">
        <v>76</v>
      </c>
      <c r="J287" s="20">
        <v>60.8</v>
      </c>
      <c r="K287" s="20">
        <v>58.98</v>
      </c>
      <c r="L287" s="23">
        <v>2.5</v>
      </c>
      <c r="M287" s="20">
        <v>0</v>
      </c>
      <c r="N287" s="23">
        <v>2.5</v>
      </c>
      <c r="O287" s="20">
        <v>0</v>
      </c>
      <c r="P287" s="20">
        <v>58.9</v>
      </c>
    </row>
    <row r="288" spans="1:16" x14ac:dyDescent="0.35">
      <c r="A288">
        <v>287</v>
      </c>
      <c r="B288" t="s">
        <v>533</v>
      </c>
      <c r="C288" s="4" t="s">
        <v>545</v>
      </c>
      <c r="D288">
        <v>3</v>
      </c>
      <c r="E288" t="s">
        <v>37</v>
      </c>
      <c r="F288" s="2">
        <v>45943</v>
      </c>
      <c r="G288" s="3">
        <v>46478</v>
      </c>
      <c r="H288" s="20">
        <v>198.79090909090905</v>
      </c>
      <c r="I288" s="20">
        <v>287.01</v>
      </c>
      <c r="J288" s="20">
        <v>218.67</v>
      </c>
      <c r="K288" s="20">
        <v>424.22</v>
      </c>
      <c r="L288" s="23">
        <v>2.5</v>
      </c>
      <c r="M288" s="20">
        <v>10.61</v>
      </c>
      <c r="N288" s="23">
        <v>2.5</v>
      </c>
      <c r="O288" s="20">
        <v>10.61</v>
      </c>
      <c r="P288" s="20">
        <v>445.4</v>
      </c>
    </row>
    <row r="289" spans="1:16" x14ac:dyDescent="0.35">
      <c r="A289">
        <v>288</v>
      </c>
      <c r="B289" t="s">
        <v>546</v>
      </c>
      <c r="C289" s="4" t="s">
        <v>551</v>
      </c>
      <c r="D289">
        <v>1</v>
      </c>
      <c r="E289" t="s">
        <v>37</v>
      </c>
      <c r="F289" s="2">
        <v>45943</v>
      </c>
      <c r="G289" s="3">
        <v>46874</v>
      </c>
      <c r="H289" s="20">
        <v>10.8</v>
      </c>
      <c r="I289" s="20">
        <v>15.59</v>
      </c>
      <c r="J289" s="20">
        <v>11.88</v>
      </c>
      <c r="K289" s="20">
        <v>34.57</v>
      </c>
      <c r="L289" s="23">
        <v>2.5</v>
      </c>
      <c r="M289" s="20">
        <v>0.86</v>
      </c>
      <c r="N289" s="23">
        <v>2.5</v>
      </c>
      <c r="O289" s="20">
        <v>0.86</v>
      </c>
      <c r="P289" s="20">
        <v>36.200000000000003</v>
      </c>
    </row>
    <row r="290" spans="1:16" x14ac:dyDescent="0.35">
      <c r="A290">
        <v>289</v>
      </c>
      <c r="B290" t="s">
        <v>547</v>
      </c>
      <c r="C290" s="4">
        <v>18240799</v>
      </c>
      <c r="D290">
        <v>5</v>
      </c>
      <c r="E290" t="s">
        <v>37</v>
      </c>
      <c r="F290" s="2">
        <v>45943</v>
      </c>
      <c r="G290" s="3">
        <v>46539</v>
      </c>
      <c r="H290" s="20">
        <v>48.727272727272727</v>
      </c>
      <c r="I290" s="20">
        <v>67</v>
      </c>
      <c r="J290" s="20">
        <v>53.6</v>
      </c>
      <c r="K290" s="20">
        <v>51.99</v>
      </c>
      <c r="L290" s="23">
        <v>2.5</v>
      </c>
      <c r="M290" s="20">
        <v>0</v>
      </c>
      <c r="N290" s="23">
        <v>2.5</v>
      </c>
      <c r="O290" s="20">
        <v>0</v>
      </c>
      <c r="P290" s="20">
        <v>51.99</v>
      </c>
    </row>
    <row r="291" spans="1:16" x14ac:dyDescent="0.35">
      <c r="A291">
        <v>290</v>
      </c>
      <c r="B291" t="s">
        <v>548</v>
      </c>
      <c r="C291" s="4">
        <v>28020422</v>
      </c>
      <c r="D291">
        <v>10</v>
      </c>
      <c r="E291" t="s">
        <v>37</v>
      </c>
      <c r="F291" s="2">
        <v>45943</v>
      </c>
      <c r="G291" s="3">
        <v>46631</v>
      </c>
      <c r="H291" s="20">
        <v>147.4909090909091</v>
      </c>
      <c r="I291" s="20">
        <v>212.94</v>
      </c>
      <c r="J291" s="20">
        <v>162.24</v>
      </c>
      <c r="K291" s="20">
        <v>786.86</v>
      </c>
      <c r="L291" s="23">
        <v>2.5</v>
      </c>
      <c r="M291" s="20">
        <v>19.670000000000002</v>
      </c>
      <c r="N291" s="23">
        <v>2.5</v>
      </c>
      <c r="O291" s="20">
        <v>19.670000000000002</v>
      </c>
      <c r="P291" s="20">
        <v>826.2</v>
      </c>
    </row>
    <row r="292" spans="1:16" x14ac:dyDescent="0.35">
      <c r="A292">
        <v>291</v>
      </c>
      <c r="B292" t="s">
        <v>549</v>
      </c>
      <c r="C292" s="4" t="s">
        <v>552</v>
      </c>
      <c r="D292">
        <v>10</v>
      </c>
      <c r="E292" t="s">
        <v>37</v>
      </c>
      <c r="F292" s="2">
        <v>45943</v>
      </c>
      <c r="G292" s="3">
        <v>46357</v>
      </c>
      <c r="H292" s="20">
        <v>18.472727272727273</v>
      </c>
      <c r="I292" s="20">
        <v>26.67</v>
      </c>
      <c r="J292" s="20">
        <v>20.32</v>
      </c>
      <c r="K292" s="20">
        <v>197.1</v>
      </c>
      <c r="L292" s="23">
        <v>2.5</v>
      </c>
      <c r="M292" s="20">
        <v>4.93</v>
      </c>
      <c r="N292" s="23">
        <v>2.5</v>
      </c>
      <c r="O292" s="20">
        <v>4.93</v>
      </c>
      <c r="P292" s="20">
        <v>206.96</v>
      </c>
    </row>
    <row r="293" spans="1:16" x14ac:dyDescent="0.35">
      <c r="A293">
        <v>292</v>
      </c>
      <c r="B293" t="s">
        <v>550</v>
      </c>
      <c r="C293" s="4" t="s">
        <v>553</v>
      </c>
      <c r="D293">
        <v>12</v>
      </c>
      <c r="E293" t="s">
        <v>37</v>
      </c>
      <c r="F293" s="2">
        <v>45943</v>
      </c>
      <c r="G293" s="3">
        <v>46905</v>
      </c>
      <c r="H293" s="20">
        <v>115.1</v>
      </c>
      <c r="I293" s="20">
        <v>166.17</v>
      </c>
      <c r="J293" s="20">
        <v>126.61</v>
      </c>
      <c r="K293" s="20">
        <v>1228.1199999999999</v>
      </c>
      <c r="L293" s="23">
        <v>2.5</v>
      </c>
      <c r="M293" s="20">
        <v>30.7</v>
      </c>
      <c r="N293" s="23">
        <v>2.5</v>
      </c>
      <c r="O293" s="20">
        <v>30.7</v>
      </c>
      <c r="P293" s="20">
        <v>1289.52</v>
      </c>
    </row>
    <row r="294" spans="1:16" x14ac:dyDescent="0.35">
      <c r="A294">
        <v>293</v>
      </c>
      <c r="B294" t="s">
        <v>507</v>
      </c>
      <c r="C294" s="4" t="s">
        <v>554</v>
      </c>
      <c r="D294">
        <v>1</v>
      </c>
      <c r="E294" t="s">
        <v>37</v>
      </c>
      <c r="F294" s="2">
        <v>45943</v>
      </c>
      <c r="G294" s="3">
        <v>46539</v>
      </c>
      <c r="H294" s="20">
        <v>59.61818181818181</v>
      </c>
      <c r="I294" s="20">
        <v>86.08</v>
      </c>
      <c r="J294" s="20">
        <v>65.58</v>
      </c>
      <c r="K294" s="20">
        <v>763.35</v>
      </c>
      <c r="L294" s="23">
        <v>2.5</v>
      </c>
      <c r="M294" s="20">
        <v>19.079999999999998</v>
      </c>
      <c r="N294" s="23">
        <v>2.5</v>
      </c>
      <c r="O294" s="20">
        <v>19.079999999999998</v>
      </c>
      <c r="P294" s="20">
        <v>801.51</v>
      </c>
    </row>
    <row r="295" spans="1:16" x14ac:dyDescent="0.35">
      <c r="A295">
        <v>294</v>
      </c>
      <c r="B295" t="s">
        <v>555</v>
      </c>
      <c r="C295" s="4" t="s">
        <v>557</v>
      </c>
      <c r="D295">
        <v>1</v>
      </c>
      <c r="E295" t="s">
        <v>131</v>
      </c>
      <c r="F295" s="2">
        <v>45943</v>
      </c>
      <c r="G295" s="3">
        <v>46357</v>
      </c>
      <c r="H295" s="20">
        <v>585.5181818181818</v>
      </c>
      <c r="I295" s="20">
        <v>950</v>
      </c>
      <c r="J295" s="20">
        <v>644.07000000000005</v>
      </c>
      <c r="K295" s="20">
        <v>624.75</v>
      </c>
      <c r="L295" s="23">
        <v>9</v>
      </c>
      <c r="M295" s="20">
        <v>56.23</v>
      </c>
      <c r="N295" s="23">
        <v>9</v>
      </c>
      <c r="O295" s="20">
        <v>56.23</v>
      </c>
      <c r="P295" s="20">
        <v>737.21</v>
      </c>
    </row>
    <row r="296" spans="1:16" x14ac:dyDescent="0.35">
      <c r="A296">
        <v>295</v>
      </c>
      <c r="B296" t="s">
        <v>96</v>
      </c>
      <c r="C296" s="4" t="s">
        <v>558</v>
      </c>
      <c r="D296">
        <v>1</v>
      </c>
      <c r="E296" t="s">
        <v>131</v>
      </c>
      <c r="F296" s="2">
        <v>45943</v>
      </c>
      <c r="G296" s="3">
        <v>46539</v>
      </c>
      <c r="H296" s="20">
        <v>563.94545454545448</v>
      </c>
      <c r="I296" s="20">
        <v>915</v>
      </c>
      <c r="J296" s="20">
        <v>620.34</v>
      </c>
      <c r="K296" s="20">
        <v>601.73</v>
      </c>
      <c r="L296" s="23">
        <v>9</v>
      </c>
      <c r="M296" s="20">
        <v>54.16</v>
      </c>
      <c r="N296" s="23">
        <v>9</v>
      </c>
      <c r="O296" s="20">
        <v>54.16</v>
      </c>
      <c r="P296" s="20">
        <v>710.05</v>
      </c>
    </row>
    <row r="297" spans="1:16" x14ac:dyDescent="0.35">
      <c r="A297">
        <v>296</v>
      </c>
      <c r="B297" t="s">
        <v>556</v>
      </c>
      <c r="C297" s="4" t="s">
        <v>559</v>
      </c>
      <c r="D297">
        <v>1</v>
      </c>
      <c r="E297" t="s">
        <v>131</v>
      </c>
      <c r="F297" s="2">
        <v>45943</v>
      </c>
      <c r="G297" s="3">
        <v>46419</v>
      </c>
      <c r="H297" s="20">
        <v>468.67272727272723</v>
      </c>
      <c r="I297" s="20">
        <v>730</v>
      </c>
      <c r="J297" s="20">
        <v>515.54</v>
      </c>
      <c r="K297" s="20">
        <v>500.07</v>
      </c>
      <c r="L297" s="23">
        <v>9</v>
      </c>
      <c r="M297" s="20">
        <v>45.01</v>
      </c>
      <c r="N297" s="23">
        <v>9</v>
      </c>
      <c r="O297" s="20">
        <v>45.01</v>
      </c>
      <c r="P297" s="20">
        <v>590.09</v>
      </c>
    </row>
    <row r="298" spans="1:16" x14ac:dyDescent="0.35">
      <c r="A298">
        <v>297</v>
      </c>
      <c r="B298" t="s">
        <v>560</v>
      </c>
      <c r="C298" s="4" t="s">
        <v>566</v>
      </c>
      <c r="D298">
        <v>2</v>
      </c>
      <c r="E298" t="s">
        <v>95</v>
      </c>
      <c r="F298" s="2">
        <v>45944</v>
      </c>
      <c r="G298" s="3">
        <v>46539</v>
      </c>
      <c r="H298" s="20">
        <v>632.99999999999989</v>
      </c>
      <c r="I298" s="20">
        <v>888.94</v>
      </c>
      <c r="J298" s="20">
        <v>696.3</v>
      </c>
      <c r="K298" s="20">
        <v>1350.82</v>
      </c>
      <c r="L298" s="23">
        <v>2.5</v>
      </c>
      <c r="M298" s="20">
        <v>33.770000000000003</v>
      </c>
      <c r="N298" s="23">
        <v>2.5</v>
      </c>
      <c r="O298" s="20">
        <v>33.770000000000003</v>
      </c>
      <c r="P298" s="20">
        <v>1418.36</v>
      </c>
    </row>
    <row r="299" spans="1:16" x14ac:dyDescent="0.35">
      <c r="A299">
        <v>298</v>
      </c>
      <c r="B299" t="s">
        <v>561</v>
      </c>
      <c r="C299" s="4" t="s">
        <v>567</v>
      </c>
      <c r="D299">
        <v>2</v>
      </c>
      <c r="E299" t="s">
        <v>95</v>
      </c>
      <c r="F299" s="2">
        <v>45944</v>
      </c>
      <c r="G299" s="3">
        <v>46447</v>
      </c>
      <c r="H299" s="20">
        <v>110.39090909090909</v>
      </c>
      <c r="I299" s="20">
        <v>159.38</v>
      </c>
      <c r="J299" s="20">
        <v>121.43</v>
      </c>
      <c r="K299" s="20">
        <v>235.57</v>
      </c>
      <c r="L299" s="23">
        <v>2.5</v>
      </c>
      <c r="M299" s="20">
        <v>5.89</v>
      </c>
      <c r="N299" s="23">
        <v>2.5</v>
      </c>
      <c r="O299" s="20">
        <v>5.89</v>
      </c>
      <c r="P299" s="20">
        <v>247.35</v>
      </c>
    </row>
    <row r="300" spans="1:16" x14ac:dyDescent="0.35">
      <c r="A300">
        <v>299</v>
      </c>
      <c r="B300" t="s">
        <v>562</v>
      </c>
      <c r="C300" s="4" t="s">
        <v>568</v>
      </c>
      <c r="D300">
        <v>1</v>
      </c>
      <c r="E300" t="s">
        <v>95</v>
      </c>
      <c r="F300" s="2">
        <v>45944</v>
      </c>
      <c r="G300" s="3">
        <v>46419</v>
      </c>
      <c r="H300" s="20">
        <v>170.25454545454545</v>
      </c>
      <c r="I300" s="20">
        <v>260</v>
      </c>
      <c r="J300" s="20">
        <v>187.28</v>
      </c>
      <c r="K300" s="20">
        <v>181.66</v>
      </c>
      <c r="L300" s="23">
        <v>9</v>
      </c>
      <c r="M300" s="20">
        <v>16.350000000000001</v>
      </c>
      <c r="N300" s="23">
        <v>9</v>
      </c>
      <c r="O300" s="20">
        <v>16.350000000000001</v>
      </c>
      <c r="P300" s="20">
        <v>214.36</v>
      </c>
    </row>
    <row r="301" spans="1:16" x14ac:dyDescent="0.35">
      <c r="A301">
        <v>300</v>
      </c>
      <c r="B301" t="s">
        <v>563</v>
      </c>
      <c r="C301" s="4" t="s">
        <v>569</v>
      </c>
      <c r="D301">
        <v>1</v>
      </c>
      <c r="E301" t="s">
        <v>95</v>
      </c>
      <c r="F301" s="2">
        <v>45944</v>
      </c>
      <c r="G301" s="3">
        <v>46539</v>
      </c>
      <c r="H301" s="20">
        <v>551.94545454545448</v>
      </c>
      <c r="I301" s="20">
        <v>796.88</v>
      </c>
      <c r="J301" s="20">
        <v>607.14</v>
      </c>
      <c r="K301" s="20">
        <v>588.92999999999995</v>
      </c>
      <c r="L301" s="23">
        <v>2.5</v>
      </c>
      <c r="M301" s="20">
        <v>14.72</v>
      </c>
      <c r="N301" s="23">
        <v>2.5</v>
      </c>
      <c r="O301" s="20">
        <v>14.72</v>
      </c>
      <c r="P301" s="20">
        <v>618.37</v>
      </c>
    </row>
    <row r="302" spans="1:16" x14ac:dyDescent="0.35">
      <c r="A302">
        <v>301</v>
      </c>
      <c r="B302" t="s">
        <v>564</v>
      </c>
      <c r="C302" s="4" t="s">
        <v>570</v>
      </c>
      <c r="D302">
        <v>1</v>
      </c>
      <c r="E302" t="s">
        <v>95</v>
      </c>
      <c r="F302" s="2">
        <v>45944</v>
      </c>
      <c r="G302" s="3">
        <v>46296</v>
      </c>
      <c r="H302" s="20">
        <v>127.86363636363636</v>
      </c>
      <c r="I302" s="20">
        <v>184.6</v>
      </c>
      <c r="J302" s="20">
        <v>140.65</v>
      </c>
      <c r="K302" s="20">
        <v>136.43</v>
      </c>
      <c r="L302" s="23">
        <v>2.5</v>
      </c>
      <c r="M302" s="20">
        <v>3.41</v>
      </c>
      <c r="N302" s="23">
        <v>2.5</v>
      </c>
      <c r="O302" s="20">
        <v>3.41</v>
      </c>
      <c r="P302" s="20">
        <v>143.25</v>
      </c>
    </row>
    <row r="303" spans="1:16" x14ac:dyDescent="0.35">
      <c r="A303">
        <v>302</v>
      </c>
      <c r="B303" t="s">
        <v>565</v>
      </c>
      <c r="C303" s="4">
        <v>11241006</v>
      </c>
      <c r="D303">
        <v>1</v>
      </c>
      <c r="E303" t="s">
        <v>95</v>
      </c>
      <c r="F303" s="2">
        <v>45944</v>
      </c>
      <c r="G303" s="3">
        <v>46569</v>
      </c>
      <c r="H303" s="20">
        <v>211.0363636363636</v>
      </c>
      <c r="I303" s="20">
        <v>304.69</v>
      </c>
      <c r="J303" s="20">
        <v>232.14</v>
      </c>
      <c r="K303" s="20">
        <v>225.18</v>
      </c>
      <c r="L303" s="23">
        <v>2.5</v>
      </c>
      <c r="M303" s="20">
        <v>5.63</v>
      </c>
      <c r="N303" s="23">
        <v>2.5</v>
      </c>
      <c r="O303" s="20">
        <v>5.63</v>
      </c>
      <c r="P303" s="20">
        <v>236.44</v>
      </c>
    </row>
    <row r="304" spans="1:16" x14ac:dyDescent="0.35">
      <c r="A304">
        <v>303</v>
      </c>
      <c r="B304" t="s">
        <v>571</v>
      </c>
      <c r="C304" s="4" t="s">
        <v>259</v>
      </c>
      <c r="D304">
        <v>3</v>
      </c>
      <c r="E304" t="s">
        <v>131</v>
      </c>
      <c r="F304" s="2">
        <v>45944</v>
      </c>
      <c r="G304" s="3">
        <v>46357</v>
      </c>
      <c r="H304" s="20">
        <v>90.272727272727266</v>
      </c>
      <c r="I304" s="20">
        <v>130.31</v>
      </c>
      <c r="J304" s="20">
        <v>99.3</v>
      </c>
      <c r="K304" s="20">
        <v>288.95999999999998</v>
      </c>
      <c r="L304" s="23">
        <v>2.5</v>
      </c>
      <c r="M304" s="20">
        <v>7.22</v>
      </c>
      <c r="N304" s="23">
        <v>2.5</v>
      </c>
      <c r="O304" s="20">
        <v>7.22</v>
      </c>
      <c r="P304" s="20">
        <v>303.39999999999998</v>
      </c>
    </row>
    <row r="305" spans="1:16" x14ac:dyDescent="0.35">
      <c r="A305">
        <v>304</v>
      </c>
      <c r="B305" t="s">
        <v>572</v>
      </c>
      <c r="C305" s="4" t="s">
        <v>575</v>
      </c>
      <c r="D305">
        <v>3</v>
      </c>
      <c r="E305" t="s">
        <v>131</v>
      </c>
      <c r="F305" s="2">
        <v>45944</v>
      </c>
      <c r="G305" s="3">
        <v>46478</v>
      </c>
      <c r="H305" s="20">
        <v>38.54545454545454</v>
      </c>
      <c r="I305" s="20">
        <v>55.65</v>
      </c>
      <c r="J305" s="20">
        <v>42.4</v>
      </c>
      <c r="K305" s="20">
        <v>123.38</v>
      </c>
      <c r="L305" s="23">
        <v>2.5</v>
      </c>
      <c r="M305" s="20">
        <v>3.08</v>
      </c>
      <c r="N305" s="23">
        <v>2.5</v>
      </c>
      <c r="O305" s="20">
        <v>3.08</v>
      </c>
      <c r="P305" s="20">
        <v>129.54</v>
      </c>
    </row>
    <row r="306" spans="1:16" x14ac:dyDescent="0.35">
      <c r="A306">
        <v>305</v>
      </c>
      <c r="B306" t="s">
        <v>573</v>
      </c>
      <c r="C306" s="4" t="s">
        <v>576</v>
      </c>
      <c r="D306">
        <v>1</v>
      </c>
      <c r="E306" t="s">
        <v>131</v>
      </c>
      <c r="F306" s="2">
        <v>45944</v>
      </c>
      <c r="G306" s="3">
        <v>46419</v>
      </c>
      <c r="H306" s="20">
        <v>77.918181818181807</v>
      </c>
      <c r="I306" s="20">
        <v>112.5</v>
      </c>
      <c r="J306" s="20">
        <v>85.71</v>
      </c>
      <c r="K306" s="20">
        <v>83.14</v>
      </c>
      <c r="L306" s="23">
        <v>2.5</v>
      </c>
      <c r="M306" s="20">
        <v>2.08</v>
      </c>
      <c r="N306" s="23">
        <v>2.5</v>
      </c>
      <c r="O306" s="20">
        <v>2.08</v>
      </c>
      <c r="P306" s="20">
        <v>87.3</v>
      </c>
    </row>
    <row r="307" spans="1:16" x14ac:dyDescent="0.35">
      <c r="A307">
        <v>306</v>
      </c>
      <c r="B307" t="s">
        <v>151</v>
      </c>
      <c r="C307" s="4" t="s">
        <v>152</v>
      </c>
      <c r="D307">
        <v>4</v>
      </c>
      <c r="E307" t="s">
        <v>131</v>
      </c>
      <c r="F307" s="2">
        <v>45944</v>
      </c>
      <c r="G307" s="3">
        <v>46508</v>
      </c>
      <c r="H307" s="20">
        <v>238</v>
      </c>
      <c r="I307" s="20">
        <v>328.13</v>
      </c>
      <c r="J307" s="20">
        <v>261.8</v>
      </c>
      <c r="K307" s="20">
        <v>1015.78</v>
      </c>
      <c r="L307" s="23">
        <v>2.5</v>
      </c>
      <c r="M307" s="20">
        <v>25.39</v>
      </c>
      <c r="N307" s="23">
        <v>2.5</v>
      </c>
      <c r="O307" s="20">
        <v>25.39</v>
      </c>
      <c r="P307" s="20">
        <v>1066.56</v>
      </c>
    </row>
    <row r="308" spans="1:16" x14ac:dyDescent="0.35">
      <c r="A308">
        <v>307</v>
      </c>
      <c r="B308" t="s">
        <v>574</v>
      </c>
      <c r="C308" s="4" t="s">
        <v>577</v>
      </c>
      <c r="D308">
        <v>1</v>
      </c>
      <c r="E308" t="s">
        <v>131</v>
      </c>
      <c r="F308" s="2">
        <v>45944</v>
      </c>
      <c r="G308" s="3">
        <v>46447</v>
      </c>
      <c r="H308" s="20">
        <v>1085.1363636363637</v>
      </c>
      <c r="I308" s="20">
        <v>1590</v>
      </c>
      <c r="J308" s="20">
        <v>1193.6500000000001</v>
      </c>
      <c r="K308" s="20">
        <v>1157.8399999999999</v>
      </c>
      <c r="L308" s="23">
        <v>9</v>
      </c>
      <c r="M308" s="20">
        <v>104.21</v>
      </c>
      <c r="N308" s="23">
        <v>9</v>
      </c>
      <c r="O308" s="20">
        <v>104.21</v>
      </c>
      <c r="P308" s="20">
        <v>1366.26</v>
      </c>
    </row>
    <row r="309" spans="1:16" x14ac:dyDescent="0.35">
      <c r="A309">
        <v>308</v>
      </c>
      <c r="B309" t="s">
        <v>578</v>
      </c>
      <c r="C309" s="4" t="s">
        <v>584</v>
      </c>
      <c r="D309">
        <v>2</v>
      </c>
      <c r="E309" t="s">
        <v>131</v>
      </c>
      <c r="F309" s="2">
        <v>45944</v>
      </c>
      <c r="G309" s="3">
        <v>46478</v>
      </c>
      <c r="H309" s="20">
        <v>45.354545454545452</v>
      </c>
      <c r="I309" s="20">
        <v>65.48</v>
      </c>
      <c r="J309" s="20">
        <v>49.89</v>
      </c>
      <c r="K309" s="20">
        <v>49.89</v>
      </c>
      <c r="L309" s="23">
        <v>2.5</v>
      </c>
      <c r="M309" s="20">
        <v>1.25</v>
      </c>
      <c r="N309" s="23">
        <v>2.5</v>
      </c>
      <c r="O309" s="20">
        <v>1.25</v>
      </c>
      <c r="P309" s="20">
        <v>52.39</v>
      </c>
    </row>
    <row r="310" spans="1:16" x14ac:dyDescent="0.35">
      <c r="A310">
        <v>309</v>
      </c>
      <c r="B310" t="s">
        <v>579</v>
      </c>
      <c r="C310" s="4" t="s">
        <v>585</v>
      </c>
      <c r="D310">
        <v>2</v>
      </c>
      <c r="E310" t="s">
        <v>131</v>
      </c>
      <c r="F310" s="2">
        <v>45944</v>
      </c>
      <c r="G310" s="3">
        <v>46478</v>
      </c>
      <c r="H310" s="20">
        <v>111.98181818181818</v>
      </c>
      <c r="I310" s="20">
        <v>161.66999999999999</v>
      </c>
      <c r="J310" s="20">
        <v>123.18</v>
      </c>
      <c r="K310" s="20">
        <v>238.97</v>
      </c>
      <c r="L310" s="23">
        <v>2.5</v>
      </c>
      <c r="M310" s="20">
        <v>5.97</v>
      </c>
      <c r="N310" s="23">
        <v>2.5</v>
      </c>
      <c r="O310" s="20">
        <v>5.97</v>
      </c>
      <c r="P310" s="20">
        <v>250.91</v>
      </c>
    </row>
    <row r="311" spans="1:16" x14ac:dyDescent="0.35">
      <c r="A311">
        <v>310</v>
      </c>
      <c r="B311" t="s">
        <v>241</v>
      </c>
      <c r="C311" s="4" t="s">
        <v>250</v>
      </c>
      <c r="D311">
        <v>1</v>
      </c>
      <c r="E311" t="s">
        <v>131</v>
      </c>
      <c r="F311" s="2">
        <v>45944</v>
      </c>
      <c r="G311" s="3">
        <v>46844</v>
      </c>
      <c r="H311" s="20">
        <v>308.44545454545454</v>
      </c>
      <c r="I311" s="20">
        <v>445.31</v>
      </c>
      <c r="J311" s="20">
        <v>339.29</v>
      </c>
      <c r="K311" s="20">
        <v>329.11</v>
      </c>
      <c r="L311" s="23">
        <v>2.5</v>
      </c>
      <c r="M311" s="20">
        <v>8.23</v>
      </c>
      <c r="N311" s="23">
        <v>2.5</v>
      </c>
      <c r="O311" s="20">
        <v>8.23</v>
      </c>
      <c r="P311" s="20">
        <v>345.57</v>
      </c>
    </row>
    <row r="312" spans="1:16" x14ac:dyDescent="0.35">
      <c r="A312">
        <v>311</v>
      </c>
      <c r="B312" t="s">
        <v>580</v>
      </c>
      <c r="C312" s="4">
        <v>6307</v>
      </c>
      <c r="D312">
        <v>1</v>
      </c>
      <c r="E312" t="s">
        <v>131</v>
      </c>
      <c r="F312" s="2">
        <v>45944</v>
      </c>
      <c r="G312" s="3">
        <v>47635</v>
      </c>
      <c r="H312" s="20">
        <v>97.399999999999991</v>
      </c>
      <c r="I312" s="20">
        <v>140.62</v>
      </c>
      <c r="J312" s="20">
        <v>107.14</v>
      </c>
      <c r="K312" s="20">
        <v>103.93</v>
      </c>
      <c r="L312" s="23">
        <v>2.5</v>
      </c>
      <c r="M312" s="20">
        <v>2.6</v>
      </c>
      <c r="N312" s="23">
        <v>2.5</v>
      </c>
      <c r="O312" s="20">
        <v>2.6</v>
      </c>
      <c r="P312" s="20">
        <v>109.13</v>
      </c>
    </row>
    <row r="313" spans="1:16" x14ac:dyDescent="0.35">
      <c r="A313">
        <v>312</v>
      </c>
      <c r="B313" t="s">
        <v>581</v>
      </c>
      <c r="C313" s="4" t="s">
        <v>586</v>
      </c>
      <c r="D313">
        <v>1</v>
      </c>
      <c r="E313" t="s">
        <v>131</v>
      </c>
      <c r="F313" s="2">
        <v>45944</v>
      </c>
      <c r="G313" s="3">
        <v>46569</v>
      </c>
      <c r="H313" s="20">
        <v>127.42727272727271</v>
      </c>
      <c r="I313" s="20">
        <v>183.98</v>
      </c>
      <c r="J313" s="20">
        <v>140.16999999999999</v>
      </c>
      <c r="K313" s="20">
        <v>135.96</v>
      </c>
      <c r="L313" s="23">
        <v>2.5</v>
      </c>
      <c r="M313" s="20">
        <v>3.4</v>
      </c>
      <c r="N313" s="23">
        <v>2.5</v>
      </c>
      <c r="O313" s="20">
        <v>3.4</v>
      </c>
      <c r="P313" s="20">
        <v>142.76</v>
      </c>
    </row>
    <row r="314" spans="1:16" x14ac:dyDescent="0.35">
      <c r="A314">
        <v>313</v>
      </c>
      <c r="B314" t="s">
        <v>582</v>
      </c>
      <c r="C314" s="4">
        <v>25281308</v>
      </c>
      <c r="D314">
        <v>3</v>
      </c>
      <c r="E314" t="s">
        <v>131</v>
      </c>
      <c r="F314" s="2">
        <v>45944</v>
      </c>
      <c r="G314" s="3">
        <v>46508</v>
      </c>
      <c r="H314" s="20">
        <v>25.818181818181817</v>
      </c>
      <c r="I314" s="20">
        <v>120.94</v>
      </c>
      <c r="J314" s="20">
        <v>28.4</v>
      </c>
      <c r="K314" s="20">
        <v>85.2</v>
      </c>
      <c r="L314" s="23">
        <v>2.5</v>
      </c>
      <c r="M314" s="20">
        <v>2.125</v>
      </c>
      <c r="N314" s="23">
        <v>2.5</v>
      </c>
      <c r="O314" s="20">
        <v>2.125</v>
      </c>
      <c r="P314" s="20">
        <v>89.46</v>
      </c>
    </row>
    <row r="315" spans="1:16" x14ac:dyDescent="0.35">
      <c r="A315">
        <v>314</v>
      </c>
      <c r="B315" t="s">
        <v>583</v>
      </c>
      <c r="C315" s="4" t="s">
        <v>587</v>
      </c>
      <c r="D315">
        <v>38</v>
      </c>
      <c r="E315" t="s">
        <v>131</v>
      </c>
      <c r="F315" s="2">
        <v>45944</v>
      </c>
      <c r="G315" s="3">
        <v>46204</v>
      </c>
      <c r="H315" s="20">
        <v>21.499999999999996</v>
      </c>
      <c r="I315" s="20">
        <v>76.56</v>
      </c>
      <c r="J315" s="20">
        <v>23.65</v>
      </c>
      <c r="K315" s="20">
        <v>898.7</v>
      </c>
      <c r="L315" s="23">
        <v>2.5</v>
      </c>
      <c r="M315" s="20">
        <v>22.47</v>
      </c>
      <c r="N315" s="23">
        <v>2.5</v>
      </c>
      <c r="O315" s="20">
        <v>22.47</v>
      </c>
      <c r="P315" s="20">
        <v>943.64</v>
      </c>
    </row>
    <row r="316" spans="1:16" x14ac:dyDescent="0.35">
      <c r="A316">
        <v>315</v>
      </c>
      <c r="B316" t="s">
        <v>588</v>
      </c>
      <c r="C316" s="4" t="s">
        <v>589</v>
      </c>
      <c r="D316">
        <v>1</v>
      </c>
      <c r="E316" t="s">
        <v>131</v>
      </c>
      <c r="F316" s="2">
        <v>45945</v>
      </c>
      <c r="G316" s="3">
        <v>46327</v>
      </c>
      <c r="H316" s="20">
        <v>78.972727272727269</v>
      </c>
      <c r="I316" s="20">
        <v>114.03</v>
      </c>
      <c r="J316" s="20">
        <v>86.87</v>
      </c>
      <c r="K316" s="20">
        <v>84.26</v>
      </c>
      <c r="L316" s="23">
        <v>2.5</v>
      </c>
      <c r="M316" s="20">
        <v>2.11</v>
      </c>
      <c r="N316" s="23">
        <v>2.5</v>
      </c>
      <c r="O316" s="20">
        <v>2.11</v>
      </c>
      <c r="P316" s="20">
        <v>88.43</v>
      </c>
    </row>
    <row r="317" spans="1:16" x14ac:dyDescent="0.35">
      <c r="A317">
        <v>316</v>
      </c>
      <c r="B317" t="s">
        <v>590</v>
      </c>
      <c r="C317" s="4">
        <v>30325</v>
      </c>
      <c r="D317">
        <v>2</v>
      </c>
      <c r="E317" t="s">
        <v>594</v>
      </c>
      <c r="F317" s="2">
        <v>45945</v>
      </c>
      <c r="G317" s="3">
        <v>46419</v>
      </c>
      <c r="H317" s="20">
        <v>202.24545454545452</v>
      </c>
      <c r="I317" s="20">
        <v>280.31</v>
      </c>
      <c r="J317" s="20">
        <v>222.47</v>
      </c>
      <c r="K317" s="20">
        <v>4449.3999999999996</v>
      </c>
      <c r="L317" s="23">
        <v>2.5</v>
      </c>
      <c r="M317" s="20">
        <v>444.94</v>
      </c>
      <c r="N317" s="23">
        <v>2.5</v>
      </c>
      <c r="O317" s="20">
        <v>444.94</v>
      </c>
      <c r="P317" s="20">
        <v>4894.34</v>
      </c>
    </row>
    <row r="318" spans="1:16" x14ac:dyDescent="0.35">
      <c r="A318">
        <v>317</v>
      </c>
      <c r="B318" t="s">
        <v>591</v>
      </c>
      <c r="C318" s="4">
        <v>2502</v>
      </c>
      <c r="D318">
        <v>5</v>
      </c>
      <c r="E318" t="s">
        <v>594</v>
      </c>
      <c r="F318" s="2">
        <v>45945</v>
      </c>
      <c r="G318" s="3">
        <v>46874</v>
      </c>
      <c r="H318" s="20">
        <v>78.272727272727266</v>
      </c>
      <c r="I318" s="20">
        <v>113.01</v>
      </c>
      <c r="J318" s="20">
        <v>86.1</v>
      </c>
      <c r="K318" s="20">
        <v>4305</v>
      </c>
      <c r="L318" s="23">
        <v>2.5</v>
      </c>
      <c r="M318" s="20">
        <v>430.5</v>
      </c>
      <c r="N318" s="23">
        <v>2.5</v>
      </c>
      <c r="O318" s="20">
        <v>430.5</v>
      </c>
      <c r="P318" s="20">
        <v>4375.5</v>
      </c>
    </row>
    <row r="319" spans="1:16" x14ac:dyDescent="0.35">
      <c r="A319">
        <v>318</v>
      </c>
      <c r="B319" t="s">
        <v>592</v>
      </c>
      <c r="C319" t="s">
        <v>593</v>
      </c>
      <c r="D319">
        <v>2</v>
      </c>
      <c r="E319" t="s">
        <v>594</v>
      </c>
      <c r="F319" s="2">
        <v>45945</v>
      </c>
      <c r="G319" s="3">
        <v>46327</v>
      </c>
      <c r="H319" s="20">
        <v>187.0090909090909</v>
      </c>
      <c r="I319" s="20">
        <v>270</v>
      </c>
      <c r="J319" s="20">
        <v>205.71</v>
      </c>
      <c r="K319" s="20">
        <v>4114</v>
      </c>
      <c r="L319" s="23">
        <v>2.5</v>
      </c>
      <c r="M319" s="20">
        <v>411.42</v>
      </c>
      <c r="N319" s="23">
        <v>2.5</v>
      </c>
      <c r="O319" s="20">
        <v>411.42</v>
      </c>
      <c r="P319" s="20">
        <v>4525.62</v>
      </c>
    </row>
    <row r="320" spans="1:16" x14ac:dyDescent="0.35">
      <c r="A320">
        <v>319</v>
      </c>
      <c r="B320" t="s">
        <v>595</v>
      </c>
      <c r="C320" s="4">
        <v>11241751</v>
      </c>
      <c r="D320">
        <v>1</v>
      </c>
      <c r="E320" t="s">
        <v>602</v>
      </c>
      <c r="F320" s="2">
        <v>45945</v>
      </c>
      <c r="G320" s="3">
        <v>46508</v>
      </c>
      <c r="H320" s="20">
        <v>357.14545454545453</v>
      </c>
      <c r="I320" s="20">
        <v>515.62</v>
      </c>
      <c r="J320" s="20">
        <v>392.86</v>
      </c>
      <c r="K320" s="20">
        <f>P320-M320-O320</f>
        <v>380.11400000000003</v>
      </c>
      <c r="L320" s="23">
        <v>2.5</v>
      </c>
      <c r="M320" s="20">
        <f>0.025*P320</f>
        <v>10.003</v>
      </c>
      <c r="N320" s="23">
        <v>2.5</v>
      </c>
      <c r="O320" s="20">
        <f>0.025*P320</f>
        <v>10.003</v>
      </c>
      <c r="P320" s="20">
        <v>400.12</v>
      </c>
    </row>
    <row r="321" spans="1:16" x14ac:dyDescent="0.35">
      <c r="A321">
        <v>320</v>
      </c>
      <c r="B321" t="s">
        <v>596</v>
      </c>
      <c r="C321" t="s">
        <v>599</v>
      </c>
      <c r="D321">
        <v>2</v>
      </c>
      <c r="E321" t="s">
        <v>602</v>
      </c>
      <c r="F321" s="2">
        <v>45945</v>
      </c>
      <c r="G321" s="3">
        <v>46539</v>
      </c>
      <c r="H321" s="20">
        <v>27.054545454545455</v>
      </c>
      <c r="I321" s="20">
        <v>39.04</v>
      </c>
      <c r="J321" s="20">
        <v>29.76</v>
      </c>
      <c r="K321" s="20">
        <f>P321-M321-O321</f>
        <v>57.588999999999992</v>
      </c>
      <c r="L321" s="23">
        <v>2.5</v>
      </c>
      <c r="M321" s="20">
        <f>0.025*P321</f>
        <v>1.5155000000000001</v>
      </c>
      <c r="N321" s="23">
        <v>2.5</v>
      </c>
      <c r="O321" s="20">
        <f>0.025*P321</f>
        <v>1.5155000000000001</v>
      </c>
      <c r="P321" s="20">
        <v>60.62</v>
      </c>
    </row>
    <row r="322" spans="1:16" x14ac:dyDescent="0.35">
      <c r="A322">
        <v>321</v>
      </c>
      <c r="B322" t="s">
        <v>597</v>
      </c>
      <c r="C322" t="s">
        <v>600</v>
      </c>
      <c r="D322">
        <v>1</v>
      </c>
      <c r="E322" t="s">
        <v>602</v>
      </c>
      <c r="F322" s="2">
        <v>45945</v>
      </c>
      <c r="G322" s="3">
        <v>46569</v>
      </c>
      <c r="H322" s="20">
        <v>124.34545454545453</v>
      </c>
      <c r="I322" s="20">
        <v>179.52</v>
      </c>
      <c r="J322" s="20">
        <v>136.78</v>
      </c>
      <c r="K322" s="20">
        <f>P322-M322-O322</f>
        <v>132.35399999999998</v>
      </c>
      <c r="L322" s="23">
        <v>2.5</v>
      </c>
      <c r="M322" s="20">
        <f>0.025*P322</f>
        <v>3.4830000000000001</v>
      </c>
      <c r="N322" s="23">
        <v>2.5</v>
      </c>
      <c r="O322" s="20">
        <f>0.025*P322</f>
        <v>3.4830000000000001</v>
      </c>
      <c r="P322" s="20">
        <v>139.32</v>
      </c>
    </row>
    <row r="323" spans="1:16" x14ac:dyDescent="0.35">
      <c r="A323">
        <v>322</v>
      </c>
      <c r="B323" t="s">
        <v>398</v>
      </c>
      <c r="C323" t="s">
        <v>407</v>
      </c>
      <c r="D323">
        <v>6</v>
      </c>
      <c r="E323" t="s">
        <v>602</v>
      </c>
      <c r="F323" s="2">
        <v>45945</v>
      </c>
      <c r="G323" s="3">
        <v>46235</v>
      </c>
      <c r="H323" s="20">
        <v>252.70000000000002</v>
      </c>
      <c r="I323" s="20">
        <v>364.84</v>
      </c>
      <c r="J323" s="20">
        <v>277.97000000000003</v>
      </c>
      <c r="K323" s="20">
        <f>P323-M323-O323</f>
        <v>1344.9054999999998</v>
      </c>
      <c r="L323" s="23">
        <v>2.5</v>
      </c>
      <c r="M323" s="20">
        <f>0.025*P323</f>
        <v>35.392250000000004</v>
      </c>
      <c r="N323" s="23">
        <v>2.5</v>
      </c>
      <c r="O323" s="20">
        <f>0.025*P323</f>
        <v>35.392250000000004</v>
      </c>
      <c r="P323" s="20">
        <v>1415.69</v>
      </c>
    </row>
    <row r="324" spans="1:16" x14ac:dyDescent="0.35">
      <c r="A324">
        <v>323</v>
      </c>
      <c r="B324" t="s">
        <v>598</v>
      </c>
      <c r="C324" t="s">
        <v>601</v>
      </c>
      <c r="D324">
        <v>1</v>
      </c>
      <c r="E324" t="s">
        <v>602</v>
      </c>
      <c r="F324" s="2">
        <v>45945</v>
      </c>
      <c r="G324" s="3">
        <v>46508</v>
      </c>
      <c r="H324" s="20">
        <v>126.62727272727271</v>
      </c>
      <c r="I324" s="20">
        <v>182.8</v>
      </c>
      <c r="J324" s="20">
        <v>139.29</v>
      </c>
      <c r="K324" s="20">
        <f>P324-M324-O324</f>
        <v>134.75750000000002</v>
      </c>
      <c r="L324" s="23">
        <v>2.5</v>
      </c>
      <c r="M324" s="20">
        <f>0.025*P324</f>
        <v>3.5462500000000001</v>
      </c>
      <c r="N324" s="23">
        <v>2.5</v>
      </c>
      <c r="O324" s="20">
        <f>0.025*P324</f>
        <v>3.5462500000000001</v>
      </c>
      <c r="P324" s="20">
        <v>141.85</v>
      </c>
    </row>
    <row r="325" spans="1:16" x14ac:dyDescent="0.35">
      <c r="A325">
        <v>324</v>
      </c>
      <c r="B325" t="s">
        <v>603</v>
      </c>
      <c r="C325" t="s">
        <v>604</v>
      </c>
      <c r="D325">
        <v>10</v>
      </c>
      <c r="E325" t="s">
        <v>605</v>
      </c>
      <c r="F325" s="2">
        <v>45946</v>
      </c>
      <c r="G325" s="3">
        <v>46327</v>
      </c>
      <c r="H325" s="20">
        <v>951.5454545454545</v>
      </c>
      <c r="I325" s="20">
        <v>1500</v>
      </c>
      <c r="J325" s="20">
        <v>1046.7</v>
      </c>
      <c r="K325" s="20">
        <v>10467</v>
      </c>
      <c r="L325" s="23">
        <v>9</v>
      </c>
      <c r="M325" s="20">
        <v>942.03</v>
      </c>
      <c r="N325" s="23">
        <v>9</v>
      </c>
      <c r="O325" s="20">
        <v>942.03</v>
      </c>
      <c r="P325" s="20">
        <v>12351</v>
      </c>
    </row>
    <row r="326" spans="1:16" x14ac:dyDescent="0.35">
      <c r="A326">
        <v>325</v>
      </c>
      <c r="B326" t="s">
        <v>606</v>
      </c>
      <c r="C326" t="s">
        <v>611</v>
      </c>
      <c r="D326">
        <v>5</v>
      </c>
      <c r="E326" t="s">
        <v>605</v>
      </c>
      <c r="F326" s="2">
        <v>45946</v>
      </c>
      <c r="G326" s="3">
        <v>46508</v>
      </c>
      <c r="H326" s="20">
        <v>373.99999999999994</v>
      </c>
      <c r="I326" s="20">
        <v>550</v>
      </c>
      <c r="J326" s="20">
        <v>411.4</v>
      </c>
      <c r="K326" s="20">
        <f t="shared" ref="K326:K345" si="0">P326-M326-O326</f>
        <v>1810.1599999999999</v>
      </c>
      <c r="L326" s="23">
        <v>6</v>
      </c>
      <c r="M326" s="20">
        <f t="shared" ref="M326:M345" si="1">(L326/100)*P326</f>
        <v>123.42</v>
      </c>
      <c r="N326" s="23">
        <v>6</v>
      </c>
      <c r="O326" s="20">
        <f t="shared" ref="O326:O345" si="2">(N326/100)*P326</f>
        <v>123.42</v>
      </c>
      <c r="P326" s="20">
        <v>2057</v>
      </c>
    </row>
    <row r="327" spans="1:16" x14ac:dyDescent="0.35">
      <c r="A327">
        <v>326</v>
      </c>
      <c r="B327" t="s">
        <v>607</v>
      </c>
      <c r="C327" t="s">
        <v>612</v>
      </c>
      <c r="D327">
        <v>5</v>
      </c>
      <c r="E327" t="s">
        <v>605</v>
      </c>
      <c r="F327" s="2">
        <v>45946</v>
      </c>
      <c r="G327" s="3">
        <v>45962</v>
      </c>
      <c r="H327" s="20">
        <v>588.69090909090903</v>
      </c>
      <c r="I327" s="20">
        <v>929</v>
      </c>
      <c r="J327" s="20">
        <v>647.55999999999995</v>
      </c>
      <c r="K327" s="20">
        <f t="shared" si="0"/>
        <v>2654.9960000000001</v>
      </c>
      <c r="L327" s="23">
        <v>9</v>
      </c>
      <c r="M327" s="20">
        <f t="shared" si="1"/>
        <v>291.40199999999999</v>
      </c>
      <c r="N327" s="23">
        <v>9</v>
      </c>
      <c r="O327" s="20">
        <f t="shared" si="2"/>
        <v>291.40199999999999</v>
      </c>
      <c r="P327" s="20">
        <v>3237.8</v>
      </c>
    </row>
    <row r="328" spans="1:16" x14ac:dyDescent="0.35">
      <c r="A328">
        <v>327</v>
      </c>
      <c r="B328" t="s">
        <v>305</v>
      </c>
      <c r="C328" t="s">
        <v>310</v>
      </c>
      <c r="D328">
        <v>5</v>
      </c>
      <c r="E328" t="s">
        <v>605</v>
      </c>
      <c r="F328" s="2">
        <v>45946</v>
      </c>
      <c r="G328" s="3">
        <v>46508</v>
      </c>
      <c r="H328" s="20">
        <v>373.99999999999994</v>
      </c>
      <c r="I328" s="20">
        <v>550</v>
      </c>
      <c r="J328" s="20">
        <v>411.4</v>
      </c>
      <c r="K328" s="20">
        <f t="shared" si="0"/>
        <v>1801.3600000000001</v>
      </c>
      <c r="L328" s="23">
        <v>6</v>
      </c>
      <c r="M328" s="20">
        <f t="shared" si="1"/>
        <v>122.82</v>
      </c>
      <c r="N328" s="23">
        <v>6</v>
      </c>
      <c r="O328" s="20">
        <f t="shared" si="2"/>
        <v>122.82</v>
      </c>
      <c r="P328" s="20">
        <v>2047</v>
      </c>
    </row>
    <row r="329" spans="1:16" x14ac:dyDescent="0.35">
      <c r="A329">
        <v>328</v>
      </c>
      <c r="B329" t="s">
        <v>608</v>
      </c>
      <c r="C329" t="s">
        <v>613</v>
      </c>
      <c r="D329">
        <v>10</v>
      </c>
      <c r="E329" t="s">
        <v>605</v>
      </c>
      <c r="F329" s="2">
        <v>45946</v>
      </c>
      <c r="G329" s="3">
        <v>45992</v>
      </c>
      <c r="H329" s="20">
        <v>193.79999999999998</v>
      </c>
      <c r="I329" s="20">
        <v>285</v>
      </c>
      <c r="J329" s="20">
        <v>213.18</v>
      </c>
      <c r="K329" s="20">
        <f t="shared" si="0"/>
        <v>1875.2800000000002</v>
      </c>
      <c r="L329" s="23">
        <v>6</v>
      </c>
      <c r="M329" s="20">
        <f t="shared" si="1"/>
        <v>127.86</v>
      </c>
      <c r="N329" s="23">
        <v>6</v>
      </c>
      <c r="O329" s="20">
        <f t="shared" si="2"/>
        <v>127.86</v>
      </c>
      <c r="P329" s="20">
        <v>2131</v>
      </c>
    </row>
    <row r="330" spans="1:16" x14ac:dyDescent="0.35">
      <c r="A330">
        <v>329</v>
      </c>
      <c r="B330" t="s">
        <v>322</v>
      </c>
      <c r="C330" t="s">
        <v>614</v>
      </c>
      <c r="D330">
        <v>5</v>
      </c>
      <c r="E330" t="s">
        <v>605</v>
      </c>
      <c r="F330" s="2">
        <v>45946</v>
      </c>
      <c r="G330" s="3">
        <v>46508</v>
      </c>
      <c r="H330" s="20">
        <v>306</v>
      </c>
      <c r="I330" s="20">
        <v>450</v>
      </c>
      <c r="J330" s="20">
        <v>336.6</v>
      </c>
      <c r="K330" s="20">
        <f t="shared" si="0"/>
        <v>1481.04</v>
      </c>
      <c r="L330" s="23">
        <v>6</v>
      </c>
      <c r="M330" s="20">
        <f t="shared" si="1"/>
        <v>100.97999999999999</v>
      </c>
      <c r="N330" s="23">
        <v>6</v>
      </c>
      <c r="O330" s="20">
        <f t="shared" si="2"/>
        <v>100.97999999999999</v>
      </c>
      <c r="P330" s="20">
        <v>1683</v>
      </c>
    </row>
    <row r="331" spans="1:16" x14ac:dyDescent="0.35">
      <c r="A331">
        <v>330</v>
      </c>
      <c r="B331" t="s">
        <v>151</v>
      </c>
      <c r="C331" t="s">
        <v>310</v>
      </c>
      <c r="D331">
        <v>5</v>
      </c>
      <c r="E331" t="s">
        <v>605</v>
      </c>
      <c r="F331" s="2">
        <v>45946</v>
      </c>
      <c r="G331" s="3">
        <v>46508</v>
      </c>
      <c r="H331" s="20">
        <v>238</v>
      </c>
      <c r="I331" s="20">
        <v>350</v>
      </c>
      <c r="J331" s="20">
        <v>261.8</v>
      </c>
      <c r="K331" s="20">
        <f t="shared" si="0"/>
        <v>1151.92</v>
      </c>
      <c r="L331" s="23">
        <v>6</v>
      </c>
      <c r="M331" s="20">
        <f t="shared" si="1"/>
        <v>78.539999999999992</v>
      </c>
      <c r="N331" s="23">
        <v>6</v>
      </c>
      <c r="O331" s="20">
        <f t="shared" si="2"/>
        <v>78.539999999999992</v>
      </c>
      <c r="P331" s="20">
        <v>1309</v>
      </c>
    </row>
    <row r="332" spans="1:16" x14ac:dyDescent="0.35">
      <c r="A332">
        <v>331</v>
      </c>
      <c r="B332" t="s">
        <v>609</v>
      </c>
      <c r="C332" t="s">
        <v>615</v>
      </c>
      <c r="D332">
        <v>5</v>
      </c>
      <c r="E332" t="s">
        <v>605</v>
      </c>
      <c r="F332" s="2">
        <v>45946</v>
      </c>
      <c r="G332" s="3">
        <v>46327</v>
      </c>
      <c r="H332" s="20">
        <v>538.59090909090912</v>
      </c>
      <c r="I332" s="20">
        <v>850</v>
      </c>
      <c r="J332" s="20">
        <v>592.45000000000005</v>
      </c>
      <c r="K332" s="20">
        <f t="shared" si="0"/>
        <v>2429.0450000000001</v>
      </c>
      <c r="L332" s="23">
        <v>9</v>
      </c>
      <c r="M332" s="20">
        <f t="shared" si="1"/>
        <v>266.60249999999996</v>
      </c>
      <c r="N332" s="23">
        <v>9</v>
      </c>
      <c r="O332" s="20">
        <f t="shared" si="2"/>
        <v>266.60249999999996</v>
      </c>
      <c r="P332" s="20">
        <v>2962.25</v>
      </c>
    </row>
    <row r="333" spans="1:16" x14ac:dyDescent="0.35">
      <c r="A333">
        <v>332</v>
      </c>
      <c r="B333" t="s">
        <v>610</v>
      </c>
      <c r="C333" t="s">
        <v>616</v>
      </c>
      <c r="D333">
        <v>5</v>
      </c>
      <c r="E333" t="s">
        <v>605</v>
      </c>
      <c r="F333" s="2">
        <v>45946</v>
      </c>
      <c r="G333" s="3">
        <v>46357</v>
      </c>
      <c r="H333" s="20">
        <v>601.95454545454538</v>
      </c>
      <c r="I333" s="20">
        <v>950</v>
      </c>
      <c r="J333" s="20">
        <v>662.15</v>
      </c>
      <c r="K333" s="20">
        <f t="shared" si="0"/>
        <v>2714.8150000000005</v>
      </c>
      <c r="L333" s="23">
        <v>9</v>
      </c>
      <c r="M333" s="20">
        <f t="shared" si="1"/>
        <v>297.96749999999997</v>
      </c>
      <c r="N333" s="23">
        <v>9</v>
      </c>
      <c r="O333" s="20">
        <f t="shared" si="2"/>
        <v>297.96749999999997</v>
      </c>
      <c r="P333" s="20">
        <v>3310.75</v>
      </c>
    </row>
    <row r="334" spans="1:16" x14ac:dyDescent="0.35">
      <c r="A334">
        <v>333</v>
      </c>
      <c r="B334" t="s">
        <v>617</v>
      </c>
      <c r="C334" t="s">
        <v>618</v>
      </c>
      <c r="D334">
        <v>10</v>
      </c>
      <c r="E334" t="s">
        <v>605</v>
      </c>
      <c r="F334" s="2">
        <v>45946</v>
      </c>
      <c r="G334" s="3">
        <v>46388</v>
      </c>
      <c r="H334" s="20">
        <v>395.5</v>
      </c>
      <c r="I334" s="20">
        <v>650</v>
      </c>
      <c r="J334" s="20">
        <v>435.05</v>
      </c>
      <c r="K334" s="20">
        <f t="shared" si="0"/>
        <v>3715.01</v>
      </c>
      <c r="L334" s="23">
        <v>9</v>
      </c>
      <c r="M334" s="20">
        <f t="shared" si="1"/>
        <v>407.745</v>
      </c>
      <c r="N334" s="23">
        <v>9</v>
      </c>
      <c r="O334" s="20">
        <f t="shared" si="2"/>
        <v>407.745</v>
      </c>
      <c r="P334" s="20">
        <v>4530.5</v>
      </c>
    </row>
    <row r="335" spans="1:16" x14ac:dyDescent="0.35">
      <c r="A335">
        <v>334</v>
      </c>
      <c r="B335" t="s">
        <v>151</v>
      </c>
      <c r="C335" t="s">
        <v>310</v>
      </c>
      <c r="D335">
        <v>10</v>
      </c>
      <c r="E335" t="s">
        <v>605</v>
      </c>
      <c r="F335" s="2">
        <v>45946</v>
      </c>
      <c r="G335" s="3">
        <v>46508</v>
      </c>
      <c r="H335" s="20">
        <v>238</v>
      </c>
      <c r="I335" s="20">
        <v>350</v>
      </c>
      <c r="J335" s="20">
        <v>261.8</v>
      </c>
      <c r="K335" s="20">
        <f t="shared" si="0"/>
        <v>2303.84</v>
      </c>
      <c r="L335" s="23">
        <v>6</v>
      </c>
      <c r="M335" s="20">
        <f t="shared" si="1"/>
        <v>157.07999999999998</v>
      </c>
      <c r="N335" s="23">
        <v>6</v>
      </c>
      <c r="O335" s="20">
        <f t="shared" si="2"/>
        <v>157.07999999999998</v>
      </c>
      <c r="P335" s="20">
        <v>2618</v>
      </c>
    </row>
    <row r="336" spans="1:16" x14ac:dyDescent="0.35">
      <c r="A336">
        <v>335</v>
      </c>
      <c r="B336" t="s">
        <v>619</v>
      </c>
      <c r="C336" t="s">
        <v>620</v>
      </c>
      <c r="D336">
        <v>5</v>
      </c>
      <c r="E336" t="s">
        <v>605</v>
      </c>
      <c r="F336" s="2">
        <v>45947</v>
      </c>
      <c r="G336" s="3">
        <v>46539</v>
      </c>
      <c r="H336" s="20">
        <v>1326.3636363636363</v>
      </c>
      <c r="I336" s="20">
        <v>1950</v>
      </c>
      <c r="J336" s="20">
        <v>1459</v>
      </c>
      <c r="K336" s="20">
        <f t="shared" si="0"/>
        <v>6419.6</v>
      </c>
      <c r="L336" s="23">
        <v>6</v>
      </c>
      <c r="M336" s="20">
        <f t="shared" si="1"/>
        <v>437.7</v>
      </c>
      <c r="N336" s="23">
        <v>6</v>
      </c>
      <c r="O336" s="20">
        <f t="shared" si="2"/>
        <v>437.7</v>
      </c>
      <c r="P336" s="20">
        <v>7295</v>
      </c>
    </row>
    <row r="337" spans="1:16" x14ac:dyDescent="0.35">
      <c r="A337">
        <v>336</v>
      </c>
      <c r="B337" t="s">
        <v>621</v>
      </c>
      <c r="C337" t="s">
        <v>624</v>
      </c>
      <c r="D337">
        <v>5</v>
      </c>
      <c r="E337" t="s">
        <v>605</v>
      </c>
      <c r="F337" s="2">
        <v>45947</v>
      </c>
      <c r="G337" s="3">
        <v>46569</v>
      </c>
      <c r="H337" s="20">
        <v>379.5454545454545</v>
      </c>
      <c r="I337" s="20">
        <v>599</v>
      </c>
      <c r="J337" s="20">
        <v>417.5</v>
      </c>
      <c r="K337" s="20">
        <f t="shared" si="0"/>
        <v>1711.75</v>
      </c>
      <c r="L337" s="23">
        <v>9</v>
      </c>
      <c r="M337" s="20">
        <f t="shared" si="1"/>
        <v>187.875</v>
      </c>
      <c r="N337" s="23">
        <v>9</v>
      </c>
      <c r="O337" s="20">
        <f t="shared" si="2"/>
        <v>187.875</v>
      </c>
      <c r="P337" s="20">
        <v>2087.5</v>
      </c>
    </row>
    <row r="338" spans="1:16" x14ac:dyDescent="0.35">
      <c r="A338">
        <v>337</v>
      </c>
      <c r="B338" t="s">
        <v>305</v>
      </c>
      <c r="C338" t="s">
        <v>310</v>
      </c>
      <c r="D338">
        <v>5</v>
      </c>
      <c r="E338" t="s">
        <v>605</v>
      </c>
      <c r="F338" s="2">
        <v>45947</v>
      </c>
      <c r="G338" s="3">
        <v>46508</v>
      </c>
      <c r="H338" s="20">
        <v>373.99999999999994</v>
      </c>
      <c r="I338" s="20">
        <v>550</v>
      </c>
      <c r="J338" s="20">
        <v>411.4</v>
      </c>
      <c r="K338" s="20">
        <f t="shared" si="0"/>
        <v>1810.1599999999999</v>
      </c>
      <c r="L338" s="23">
        <v>6</v>
      </c>
      <c r="M338" s="20">
        <f t="shared" si="1"/>
        <v>123.42</v>
      </c>
      <c r="N338" s="23">
        <v>6</v>
      </c>
      <c r="O338" s="20">
        <f t="shared" si="2"/>
        <v>123.42</v>
      </c>
      <c r="P338" s="20">
        <v>2057</v>
      </c>
    </row>
    <row r="339" spans="1:16" x14ac:dyDescent="0.35">
      <c r="A339">
        <v>338</v>
      </c>
      <c r="B339" t="s">
        <v>151</v>
      </c>
      <c r="C339" t="s">
        <v>625</v>
      </c>
      <c r="D339">
        <v>10</v>
      </c>
      <c r="E339" t="s">
        <v>605</v>
      </c>
      <c r="F339" s="2">
        <v>45947</v>
      </c>
      <c r="G339" s="3">
        <v>46874</v>
      </c>
      <c r="H339" s="20">
        <v>238</v>
      </c>
      <c r="I339" s="20">
        <v>350</v>
      </c>
      <c r="J339" s="20">
        <v>261.8</v>
      </c>
      <c r="K339" s="20">
        <f t="shared" si="0"/>
        <v>2303.84</v>
      </c>
      <c r="L339" s="23">
        <v>6</v>
      </c>
      <c r="M339" s="20">
        <f t="shared" si="1"/>
        <v>157.07999999999998</v>
      </c>
      <c r="N339" s="23">
        <v>6</v>
      </c>
      <c r="O339" s="20">
        <f t="shared" si="2"/>
        <v>157.07999999999998</v>
      </c>
      <c r="P339" s="20">
        <v>2618</v>
      </c>
    </row>
    <row r="340" spans="1:16" x14ac:dyDescent="0.35">
      <c r="A340">
        <v>339</v>
      </c>
      <c r="B340" t="s">
        <v>622</v>
      </c>
      <c r="C340" t="s">
        <v>626</v>
      </c>
      <c r="D340">
        <v>10</v>
      </c>
      <c r="E340" t="s">
        <v>605</v>
      </c>
      <c r="F340" s="2">
        <v>45947</v>
      </c>
      <c r="G340" s="3">
        <v>46539</v>
      </c>
      <c r="H340" s="20">
        <v>306.30909090909086</v>
      </c>
      <c r="I340" s="20">
        <v>450</v>
      </c>
      <c r="J340" s="20">
        <v>336.94</v>
      </c>
      <c r="K340" s="20">
        <f t="shared" si="0"/>
        <v>2965.0720000000001</v>
      </c>
      <c r="L340" s="23">
        <v>6</v>
      </c>
      <c r="M340" s="20">
        <f t="shared" si="1"/>
        <v>202.16399999999999</v>
      </c>
      <c r="N340" s="23">
        <v>6</v>
      </c>
      <c r="O340" s="20">
        <f t="shared" si="2"/>
        <v>202.16399999999999</v>
      </c>
      <c r="P340" s="20">
        <v>3369.4</v>
      </c>
    </row>
    <row r="341" spans="1:16" x14ac:dyDescent="0.35">
      <c r="A341">
        <v>340</v>
      </c>
      <c r="B341" t="s">
        <v>623</v>
      </c>
      <c r="C341" t="s">
        <v>627</v>
      </c>
      <c r="D341">
        <v>5</v>
      </c>
      <c r="E341" t="s">
        <v>605</v>
      </c>
      <c r="F341" s="2">
        <v>45947</v>
      </c>
      <c r="G341" s="3">
        <v>46388</v>
      </c>
      <c r="H341" s="20">
        <v>538.59090909090912</v>
      </c>
      <c r="I341" s="20">
        <v>850</v>
      </c>
      <c r="J341" s="20">
        <v>592.45000000000005</v>
      </c>
      <c r="K341" s="20">
        <f t="shared" si="0"/>
        <v>2429.0450000000001</v>
      </c>
      <c r="L341" s="23">
        <v>9</v>
      </c>
      <c r="M341" s="20">
        <f t="shared" si="1"/>
        <v>266.60249999999996</v>
      </c>
      <c r="N341" s="23">
        <v>9</v>
      </c>
      <c r="O341" s="20">
        <f t="shared" si="2"/>
        <v>266.60249999999996</v>
      </c>
      <c r="P341" s="20">
        <v>2962.25</v>
      </c>
    </row>
    <row r="342" spans="1:16" x14ac:dyDescent="0.35">
      <c r="A342">
        <v>341</v>
      </c>
      <c r="B342" t="s">
        <v>560</v>
      </c>
      <c r="C342" t="s">
        <v>566</v>
      </c>
      <c r="D342">
        <v>5</v>
      </c>
      <c r="E342" t="s">
        <v>605</v>
      </c>
      <c r="F342" s="2">
        <v>45947</v>
      </c>
      <c r="G342" s="3">
        <v>46539</v>
      </c>
      <c r="H342" s="20">
        <v>632.99999999999989</v>
      </c>
      <c r="I342" s="20">
        <v>999</v>
      </c>
      <c r="J342" s="20">
        <v>696.3</v>
      </c>
      <c r="K342" s="20">
        <f t="shared" si="0"/>
        <v>2854.83</v>
      </c>
      <c r="L342" s="23">
        <v>9</v>
      </c>
      <c r="M342" s="20">
        <f t="shared" si="1"/>
        <v>313.33499999999998</v>
      </c>
      <c r="N342" s="23">
        <v>9</v>
      </c>
      <c r="O342" s="20">
        <f t="shared" si="2"/>
        <v>313.33499999999998</v>
      </c>
      <c r="P342" s="20">
        <v>3481.5</v>
      </c>
    </row>
    <row r="343" spans="1:16" x14ac:dyDescent="0.35">
      <c r="A343">
        <v>342</v>
      </c>
      <c r="B343" t="s">
        <v>617</v>
      </c>
      <c r="C343" t="s">
        <v>628</v>
      </c>
      <c r="D343">
        <v>10</v>
      </c>
      <c r="E343" t="s">
        <v>605</v>
      </c>
      <c r="F343" s="2">
        <v>45947</v>
      </c>
      <c r="G343" s="3">
        <v>46569</v>
      </c>
      <c r="H343" s="20">
        <v>411.86363636363632</v>
      </c>
      <c r="I343" s="20">
        <v>650</v>
      </c>
      <c r="J343" s="20">
        <v>453.05</v>
      </c>
      <c r="K343" s="20">
        <f t="shared" si="0"/>
        <v>3715.01</v>
      </c>
      <c r="L343" s="23">
        <v>9</v>
      </c>
      <c r="M343" s="20">
        <f t="shared" si="1"/>
        <v>407.745</v>
      </c>
      <c r="N343" s="23">
        <v>9</v>
      </c>
      <c r="O343" s="20">
        <f t="shared" si="2"/>
        <v>407.745</v>
      </c>
      <c r="P343" s="20">
        <v>4530.5</v>
      </c>
    </row>
    <row r="344" spans="1:16" x14ac:dyDescent="0.35">
      <c r="A344">
        <v>343</v>
      </c>
      <c r="B344" t="s">
        <v>607</v>
      </c>
      <c r="C344" t="s">
        <v>612</v>
      </c>
      <c r="D344">
        <v>5</v>
      </c>
      <c r="E344" t="s">
        <v>605</v>
      </c>
      <c r="F344" s="2">
        <v>45948</v>
      </c>
      <c r="G344" s="3">
        <v>45962</v>
      </c>
      <c r="H344" s="20">
        <v>588.69090909090903</v>
      </c>
      <c r="I344" s="20">
        <v>929</v>
      </c>
      <c r="J344" s="20">
        <v>647.55999999999995</v>
      </c>
      <c r="K344" s="20">
        <f t="shared" si="0"/>
        <v>2654.9960000000001</v>
      </c>
      <c r="L344" s="23">
        <v>9</v>
      </c>
      <c r="M344" s="20">
        <f t="shared" si="1"/>
        <v>291.40199999999999</v>
      </c>
      <c r="N344" s="23">
        <v>9</v>
      </c>
      <c r="O344" s="20">
        <f t="shared" si="2"/>
        <v>291.40199999999999</v>
      </c>
      <c r="P344" s="20">
        <v>3237.8</v>
      </c>
    </row>
    <row r="345" spans="1:16" x14ac:dyDescent="0.35">
      <c r="A345">
        <v>344</v>
      </c>
      <c r="B345" t="s">
        <v>629</v>
      </c>
      <c r="C345" t="s">
        <v>630</v>
      </c>
      <c r="D345">
        <v>5</v>
      </c>
      <c r="E345" t="s">
        <v>605</v>
      </c>
      <c r="F345" s="2">
        <v>45948</v>
      </c>
      <c r="G345" s="3">
        <v>46569</v>
      </c>
      <c r="H345" s="20">
        <v>265.4909090909091</v>
      </c>
      <c r="I345" s="20">
        <v>419</v>
      </c>
      <c r="J345" s="20">
        <v>292.04000000000002</v>
      </c>
      <c r="K345" s="20">
        <f t="shared" si="0"/>
        <v>1197.364</v>
      </c>
      <c r="L345" s="23">
        <v>9</v>
      </c>
      <c r="M345" s="20">
        <f t="shared" si="1"/>
        <v>131.41800000000001</v>
      </c>
      <c r="N345" s="23">
        <v>9</v>
      </c>
      <c r="O345" s="20">
        <f t="shared" si="2"/>
        <v>131.41800000000001</v>
      </c>
      <c r="P345" s="20">
        <v>1460.2</v>
      </c>
    </row>
    <row r="346" spans="1:16" x14ac:dyDescent="0.35">
      <c r="A346">
        <v>345</v>
      </c>
      <c r="B346" t="s">
        <v>631</v>
      </c>
      <c r="C346" t="s">
        <v>638</v>
      </c>
      <c r="D346">
        <v>2</v>
      </c>
      <c r="E346" t="s">
        <v>131</v>
      </c>
      <c r="F346" s="2">
        <v>45948</v>
      </c>
      <c r="G346" s="3">
        <v>46539</v>
      </c>
      <c r="H346" s="20">
        <v>161.69090909090909</v>
      </c>
      <c r="I346" s="20">
        <v>249</v>
      </c>
      <c r="J346" s="20">
        <v>177.86</v>
      </c>
      <c r="K346" s="20">
        <v>345.05</v>
      </c>
      <c r="L346" s="23">
        <v>6</v>
      </c>
      <c r="M346" s="20">
        <v>20.7</v>
      </c>
      <c r="N346" s="23">
        <v>6</v>
      </c>
      <c r="O346" s="20">
        <v>20.7</v>
      </c>
      <c r="P346" s="20">
        <v>386.45</v>
      </c>
    </row>
    <row r="347" spans="1:16" x14ac:dyDescent="0.35">
      <c r="A347">
        <v>346</v>
      </c>
      <c r="B347" t="s">
        <v>632</v>
      </c>
      <c r="C347" t="s">
        <v>639</v>
      </c>
      <c r="D347">
        <v>1</v>
      </c>
      <c r="E347" t="s">
        <v>131</v>
      </c>
      <c r="F347" s="2">
        <v>45948</v>
      </c>
      <c r="G347" s="3">
        <v>46419</v>
      </c>
      <c r="H347" s="20">
        <v>183.1090909090909</v>
      </c>
      <c r="I347" s="20">
        <v>282</v>
      </c>
      <c r="J347" s="20">
        <v>201.42</v>
      </c>
      <c r="K347" s="20">
        <v>195.38</v>
      </c>
      <c r="L347" s="23">
        <v>6</v>
      </c>
      <c r="M347" s="20">
        <v>11.72</v>
      </c>
      <c r="N347" s="23">
        <v>6</v>
      </c>
      <c r="O347" s="20">
        <v>11.72</v>
      </c>
      <c r="P347" s="20">
        <v>218.82</v>
      </c>
    </row>
    <row r="348" spans="1:16" x14ac:dyDescent="0.35">
      <c r="A348">
        <v>347</v>
      </c>
      <c r="B348" t="s">
        <v>633</v>
      </c>
      <c r="C348" t="s">
        <v>640</v>
      </c>
      <c r="D348">
        <v>3</v>
      </c>
      <c r="E348" t="s">
        <v>131</v>
      </c>
      <c r="F348" s="2">
        <v>45948</v>
      </c>
      <c r="G348" s="3">
        <v>46447</v>
      </c>
      <c r="H348" s="20">
        <v>74.290909090909082</v>
      </c>
      <c r="I348" s="20">
        <v>114.4</v>
      </c>
      <c r="J348" s="20">
        <v>81.72</v>
      </c>
      <c r="K348" s="20">
        <v>237.81</v>
      </c>
      <c r="L348" s="23">
        <v>6</v>
      </c>
      <c r="M348" s="20">
        <v>14.27</v>
      </c>
      <c r="N348" s="23">
        <v>6</v>
      </c>
      <c r="O348" s="20">
        <v>14.27</v>
      </c>
      <c r="P348" s="20">
        <v>266.35000000000002</v>
      </c>
    </row>
    <row r="349" spans="1:16" x14ac:dyDescent="0.35">
      <c r="A349">
        <v>348</v>
      </c>
      <c r="B349" t="s">
        <v>634</v>
      </c>
      <c r="C349" t="s">
        <v>641</v>
      </c>
      <c r="D349">
        <v>3</v>
      </c>
      <c r="E349" t="s">
        <v>131</v>
      </c>
      <c r="F349" s="2">
        <v>45948</v>
      </c>
      <c r="G349" s="3">
        <v>47239</v>
      </c>
      <c r="H349" s="20">
        <v>107.14545454545454</v>
      </c>
      <c r="I349" s="20">
        <v>165</v>
      </c>
      <c r="J349" s="20">
        <v>117.86</v>
      </c>
      <c r="K349" s="20">
        <v>342.97</v>
      </c>
      <c r="L349" s="23">
        <v>6</v>
      </c>
      <c r="M349" s="20">
        <v>20.58</v>
      </c>
      <c r="N349" s="23">
        <v>6</v>
      </c>
      <c r="O349" s="20">
        <v>20.58</v>
      </c>
      <c r="P349" s="20">
        <v>384.13</v>
      </c>
    </row>
    <row r="350" spans="1:16" x14ac:dyDescent="0.35">
      <c r="A350">
        <v>349</v>
      </c>
      <c r="B350" t="s">
        <v>636</v>
      </c>
      <c r="C350" t="s">
        <v>642</v>
      </c>
      <c r="D350">
        <v>4</v>
      </c>
      <c r="E350" t="s">
        <v>131</v>
      </c>
      <c r="F350" s="2">
        <v>45948</v>
      </c>
      <c r="G350" s="3">
        <v>46478</v>
      </c>
      <c r="H350" s="20">
        <v>61.945454545454538</v>
      </c>
      <c r="I350" s="20">
        <v>95.4</v>
      </c>
      <c r="J350" s="20">
        <v>68.14</v>
      </c>
      <c r="K350" s="20">
        <v>264.38</v>
      </c>
      <c r="L350" s="23">
        <v>6</v>
      </c>
      <c r="M350" s="20">
        <v>15.86</v>
      </c>
      <c r="N350" s="23">
        <v>6</v>
      </c>
      <c r="O350" s="20">
        <v>15.86</v>
      </c>
      <c r="P350" s="20">
        <v>296.16000000000003</v>
      </c>
    </row>
    <row r="351" spans="1:16" x14ac:dyDescent="0.35">
      <c r="A351">
        <v>350</v>
      </c>
      <c r="B351" t="s">
        <v>635</v>
      </c>
      <c r="C351" t="s">
        <v>643</v>
      </c>
      <c r="D351">
        <v>2</v>
      </c>
      <c r="E351" t="s">
        <v>131</v>
      </c>
      <c r="F351" s="2">
        <v>45948</v>
      </c>
      <c r="G351" s="3">
        <v>46296</v>
      </c>
      <c r="H351" s="20">
        <v>90.263636363636365</v>
      </c>
      <c r="I351" s="20">
        <v>139</v>
      </c>
      <c r="J351" s="20">
        <v>99.29</v>
      </c>
      <c r="K351" s="20">
        <v>192.62</v>
      </c>
      <c r="L351" s="23">
        <v>6</v>
      </c>
      <c r="M351" s="20">
        <v>11.56</v>
      </c>
      <c r="N351" s="23">
        <v>6</v>
      </c>
      <c r="O351" s="20">
        <v>11.56</v>
      </c>
      <c r="P351" s="20">
        <v>215.74</v>
      </c>
    </row>
    <row r="352" spans="1:16" x14ac:dyDescent="0.35">
      <c r="A352">
        <v>351</v>
      </c>
      <c r="B352" t="s">
        <v>637</v>
      </c>
      <c r="C352" t="s">
        <v>644</v>
      </c>
      <c r="D352">
        <v>2</v>
      </c>
      <c r="E352" t="s">
        <v>131</v>
      </c>
      <c r="F352" s="2">
        <v>45948</v>
      </c>
      <c r="G352" s="3">
        <v>46266</v>
      </c>
      <c r="H352" s="20">
        <v>146.1</v>
      </c>
      <c r="I352" s="20">
        <v>225</v>
      </c>
      <c r="J352" s="20">
        <v>160.71</v>
      </c>
      <c r="K352" s="20">
        <v>311.77999999999997</v>
      </c>
      <c r="L352" s="23">
        <v>6</v>
      </c>
      <c r="M352" s="20">
        <v>18.71</v>
      </c>
      <c r="N352" s="23">
        <v>6</v>
      </c>
      <c r="O352" s="20">
        <v>18.71</v>
      </c>
      <c r="P352" s="20">
        <v>349.2</v>
      </c>
    </row>
    <row r="353" spans="1:16" x14ac:dyDescent="0.35">
      <c r="A353">
        <v>352</v>
      </c>
      <c r="B353" t="s">
        <v>645</v>
      </c>
      <c r="C353" t="s">
        <v>649</v>
      </c>
      <c r="D353">
        <v>3</v>
      </c>
      <c r="E353" t="s">
        <v>95</v>
      </c>
      <c r="F353" s="2">
        <v>45948</v>
      </c>
      <c r="G353" s="3">
        <v>46722</v>
      </c>
      <c r="H353" s="20">
        <v>131.65454545454543</v>
      </c>
      <c r="I353" s="20">
        <v>190.08</v>
      </c>
      <c r="J353" s="20">
        <v>144.82</v>
      </c>
      <c r="K353" s="20">
        <v>402.46</v>
      </c>
      <c r="L353" s="23">
        <v>2.5</v>
      </c>
      <c r="M353" s="20">
        <v>10.06</v>
      </c>
      <c r="N353" s="23">
        <v>2.5</v>
      </c>
      <c r="O353" s="20">
        <v>10.06</v>
      </c>
      <c r="P353" s="20">
        <v>422.58</v>
      </c>
    </row>
    <row r="354" spans="1:16" x14ac:dyDescent="0.35">
      <c r="A354">
        <v>353</v>
      </c>
      <c r="B354" t="s">
        <v>645</v>
      </c>
      <c r="C354" t="s">
        <v>649</v>
      </c>
      <c r="D354">
        <v>7</v>
      </c>
      <c r="E354" t="s">
        <v>95</v>
      </c>
      <c r="F354" s="2">
        <v>45948</v>
      </c>
      <c r="G354" s="3">
        <v>46722</v>
      </c>
      <c r="H354" s="20">
        <v>131.65454545454543</v>
      </c>
      <c r="I354" s="20">
        <v>190.08</v>
      </c>
      <c r="J354" s="20">
        <v>144.82</v>
      </c>
      <c r="K354" s="20">
        <v>939.08</v>
      </c>
      <c r="L354" s="23">
        <v>2.5</v>
      </c>
      <c r="M354" s="20">
        <v>23.48</v>
      </c>
      <c r="N354" s="23">
        <v>2.5</v>
      </c>
      <c r="O354" s="20">
        <v>23.48</v>
      </c>
      <c r="P354" s="20">
        <v>986.04</v>
      </c>
    </row>
    <row r="355" spans="1:16" x14ac:dyDescent="0.35">
      <c r="A355">
        <v>354</v>
      </c>
      <c r="B355" t="s">
        <v>646</v>
      </c>
      <c r="C355" t="s">
        <v>650</v>
      </c>
      <c r="D355">
        <v>2</v>
      </c>
      <c r="E355" t="s">
        <v>95</v>
      </c>
      <c r="F355" s="2">
        <v>45948</v>
      </c>
      <c r="G355" s="3">
        <v>46388</v>
      </c>
      <c r="H355" s="20">
        <v>373.21818181818179</v>
      </c>
      <c r="I355" s="20">
        <v>538.83000000000004</v>
      </c>
      <c r="J355" s="20">
        <v>410.54</v>
      </c>
      <c r="K355" s="20">
        <v>724.76</v>
      </c>
      <c r="L355" s="23">
        <v>2.5</v>
      </c>
      <c r="M355" s="20">
        <v>18.12</v>
      </c>
      <c r="N355" s="23">
        <v>2.5</v>
      </c>
      <c r="O355" s="20">
        <v>18.12</v>
      </c>
      <c r="P355" s="20">
        <v>761</v>
      </c>
    </row>
    <row r="356" spans="1:16" x14ac:dyDescent="0.35">
      <c r="A356">
        <v>355</v>
      </c>
      <c r="B356" t="s">
        <v>646</v>
      </c>
      <c r="C356" t="s">
        <v>651</v>
      </c>
      <c r="D356">
        <v>3</v>
      </c>
      <c r="E356" t="s">
        <v>95</v>
      </c>
      <c r="F356" s="2">
        <v>45948</v>
      </c>
      <c r="G356" s="3">
        <v>46419</v>
      </c>
      <c r="H356" s="20">
        <v>373.21818181818179</v>
      </c>
      <c r="I356" s="20">
        <v>538.83000000000004</v>
      </c>
      <c r="J356" s="20">
        <v>410.54</v>
      </c>
      <c r="K356" s="20">
        <v>1087.1600000000001</v>
      </c>
      <c r="L356" s="23">
        <v>2.5</v>
      </c>
      <c r="M356" s="20">
        <v>27.18</v>
      </c>
      <c r="N356" s="23">
        <v>2.5</v>
      </c>
      <c r="O356" s="20">
        <v>27.18</v>
      </c>
      <c r="P356" s="20">
        <v>1141.52</v>
      </c>
    </row>
    <row r="357" spans="1:16" x14ac:dyDescent="0.35">
      <c r="A357">
        <v>356</v>
      </c>
      <c r="B357" t="s">
        <v>647</v>
      </c>
      <c r="C357" t="s">
        <v>652</v>
      </c>
      <c r="D357">
        <v>1</v>
      </c>
      <c r="E357" t="s">
        <v>95</v>
      </c>
      <c r="F357" s="2">
        <v>45948</v>
      </c>
      <c r="G357" s="3">
        <v>46508</v>
      </c>
      <c r="H357" s="20">
        <v>227.27272727272725</v>
      </c>
      <c r="I357" s="20">
        <v>328</v>
      </c>
      <c r="J357" s="20">
        <v>250</v>
      </c>
      <c r="K357" s="20">
        <v>242.5</v>
      </c>
      <c r="L357" s="23">
        <v>2.5</v>
      </c>
      <c r="M357" s="20">
        <v>6.06</v>
      </c>
      <c r="N357" s="23">
        <v>2.5</v>
      </c>
      <c r="O357" s="20">
        <v>6.06</v>
      </c>
      <c r="P357" s="20">
        <v>254.62</v>
      </c>
    </row>
    <row r="358" spans="1:16" x14ac:dyDescent="0.35">
      <c r="A358">
        <v>357</v>
      </c>
      <c r="B358" t="s">
        <v>333</v>
      </c>
      <c r="C358" s="4">
        <v>60001984</v>
      </c>
      <c r="D358">
        <v>6</v>
      </c>
      <c r="E358" t="s">
        <v>95</v>
      </c>
      <c r="F358" s="2">
        <v>45948</v>
      </c>
      <c r="G358" s="3">
        <v>46447</v>
      </c>
      <c r="H358" s="20">
        <v>108.40909090909091</v>
      </c>
      <c r="I358" s="20">
        <v>156.52000000000001</v>
      </c>
      <c r="J358" s="20">
        <v>119.25</v>
      </c>
      <c r="K358" s="20">
        <v>694.04</v>
      </c>
      <c r="L358" s="23">
        <v>2.5</v>
      </c>
      <c r="M358" s="20">
        <v>17.350000000000001</v>
      </c>
      <c r="N358" s="23">
        <v>2.5</v>
      </c>
      <c r="O358" s="20">
        <v>17.350000000000001</v>
      </c>
      <c r="P358" s="20">
        <v>728.74</v>
      </c>
    </row>
    <row r="359" spans="1:16" x14ac:dyDescent="0.35">
      <c r="A359">
        <v>358</v>
      </c>
      <c r="B359" t="s">
        <v>648</v>
      </c>
      <c r="C359" s="4">
        <v>25441514</v>
      </c>
      <c r="D359">
        <v>2</v>
      </c>
      <c r="E359" t="s">
        <v>95</v>
      </c>
      <c r="F359" s="2">
        <v>45948</v>
      </c>
      <c r="G359" s="3">
        <v>46447</v>
      </c>
      <c r="H359" s="20">
        <v>160.71818181818179</v>
      </c>
      <c r="I359" s="20">
        <v>232.03</v>
      </c>
      <c r="J359" s="20">
        <v>176.79</v>
      </c>
      <c r="K359" s="20">
        <v>342.97</v>
      </c>
      <c r="L359" s="23">
        <v>2.5</v>
      </c>
      <c r="M359" s="20">
        <v>8.57</v>
      </c>
      <c r="N359" s="23">
        <v>2.5</v>
      </c>
      <c r="O359" s="20">
        <v>8.57</v>
      </c>
      <c r="P359" s="20">
        <v>360.11</v>
      </c>
    </row>
    <row r="360" spans="1:16" x14ac:dyDescent="0.35">
      <c r="A360">
        <v>359</v>
      </c>
      <c r="B360" t="s">
        <v>653</v>
      </c>
      <c r="C360" t="s">
        <v>659</v>
      </c>
      <c r="D360">
        <v>19</v>
      </c>
      <c r="E360" t="s">
        <v>95</v>
      </c>
      <c r="F360" s="2">
        <v>45949</v>
      </c>
      <c r="G360" s="3">
        <v>46631</v>
      </c>
      <c r="H360" s="20">
        <v>18.963636363636361</v>
      </c>
      <c r="I360" s="20">
        <v>27.37</v>
      </c>
      <c r="J360" s="20">
        <v>20.86</v>
      </c>
      <c r="K360" s="20">
        <v>384.45</v>
      </c>
      <c r="L360" s="23">
        <v>2.5</v>
      </c>
      <c r="M360" s="20">
        <v>9.61</v>
      </c>
      <c r="N360" s="23">
        <v>2.5</v>
      </c>
      <c r="O360" s="20">
        <v>9.61</v>
      </c>
      <c r="P360" s="20">
        <v>403.67</v>
      </c>
    </row>
    <row r="361" spans="1:16" x14ac:dyDescent="0.35">
      <c r="A361">
        <v>360</v>
      </c>
      <c r="B361" t="s">
        <v>654</v>
      </c>
      <c r="C361" t="s">
        <v>660</v>
      </c>
      <c r="D361">
        <v>2</v>
      </c>
      <c r="E361" t="s">
        <v>95</v>
      </c>
      <c r="F361" s="2">
        <v>45949</v>
      </c>
      <c r="G361" s="3">
        <v>46600</v>
      </c>
      <c r="H361" s="20">
        <v>89.454545454545453</v>
      </c>
      <c r="I361" s="20">
        <v>129.15</v>
      </c>
      <c r="J361" s="20">
        <v>98.4</v>
      </c>
      <c r="K361" s="20">
        <v>190.9</v>
      </c>
      <c r="L361" s="23">
        <v>2.5</v>
      </c>
      <c r="M361" s="20">
        <v>4.7699999999999996</v>
      </c>
      <c r="N361" s="23">
        <v>2.5</v>
      </c>
      <c r="O361" s="20">
        <v>4.7699999999999996</v>
      </c>
      <c r="P361" s="20">
        <v>200.44</v>
      </c>
    </row>
    <row r="362" spans="1:16" x14ac:dyDescent="0.35">
      <c r="A362">
        <v>361</v>
      </c>
      <c r="B362" t="s">
        <v>655</v>
      </c>
      <c r="C362" t="s">
        <v>661</v>
      </c>
      <c r="D362">
        <v>6</v>
      </c>
      <c r="E362" t="s">
        <v>95</v>
      </c>
      <c r="F362" s="2">
        <v>45949</v>
      </c>
      <c r="G362" s="3">
        <v>46508</v>
      </c>
      <c r="H362" s="20">
        <v>196.5</v>
      </c>
      <c r="I362" s="20">
        <v>283.7</v>
      </c>
      <c r="J362" s="20">
        <v>216.15</v>
      </c>
      <c r="K362" s="20">
        <v>1257.99</v>
      </c>
      <c r="L362" s="23">
        <v>2.5</v>
      </c>
      <c r="M362" s="20">
        <v>31.45</v>
      </c>
      <c r="N362" s="23">
        <v>2.5</v>
      </c>
      <c r="O362" s="20">
        <v>31.45</v>
      </c>
      <c r="P362" s="20">
        <v>1320.89</v>
      </c>
    </row>
    <row r="363" spans="1:16" x14ac:dyDescent="0.35">
      <c r="A363">
        <v>362</v>
      </c>
      <c r="B363" t="s">
        <v>656</v>
      </c>
      <c r="C363" t="s">
        <v>662</v>
      </c>
      <c r="D363">
        <v>1</v>
      </c>
      <c r="E363" t="s">
        <v>95</v>
      </c>
      <c r="F363" s="2">
        <v>45949</v>
      </c>
      <c r="G363" s="3">
        <v>46539</v>
      </c>
      <c r="H363" s="20">
        <v>87.663636363636357</v>
      </c>
      <c r="I363" s="20">
        <v>126.56</v>
      </c>
      <c r="J363" s="20">
        <v>96.43</v>
      </c>
      <c r="K363" s="20">
        <v>93.54</v>
      </c>
      <c r="L363" s="23">
        <v>2.5</v>
      </c>
      <c r="M363" s="20">
        <v>2.34</v>
      </c>
      <c r="N363" s="23">
        <v>2.5</v>
      </c>
      <c r="O363" s="20">
        <v>2.34</v>
      </c>
      <c r="P363" s="20">
        <v>98.22</v>
      </c>
    </row>
    <row r="364" spans="1:16" x14ac:dyDescent="0.35">
      <c r="A364">
        <v>363</v>
      </c>
      <c r="B364" t="s">
        <v>657</v>
      </c>
      <c r="C364" t="s">
        <v>663</v>
      </c>
      <c r="D364">
        <v>2</v>
      </c>
      <c r="E364" t="s">
        <v>95</v>
      </c>
      <c r="F364" s="2">
        <v>45949</v>
      </c>
      <c r="G364" s="3">
        <v>46905</v>
      </c>
      <c r="H364" s="20">
        <v>163.63636363636363</v>
      </c>
      <c r="I364" s="20">
        <v>281.25</v>
      </c>
      <c r="J364" s="20">
        <v>180</v>
      </c>
      <c r="K364" s="20">
        <v>360</v>
      </c>
      <c r="L364" s="23">
        <v>2.5</v>
      </c>
      <c r="M364" s="20">
        <v>9</v>
      </c>
      <c r="N364" s="23">
        <v>2.5</v>
      </c>
      <c r="O364" s="20">
        <v>9</v>
      </c>
      <c r="P364" s="20">
        <v>278</v>
      </c>
    </row>
    <row r="365" spans="1:16" x14ac:dyDescent="0.35">
      <c r="A365">
        <v>364</v>
      </c>
      <c r="B365" t="s">
        <v>658</v>
      </c>
      <c r="C365" t="s">
        <v>664</v>
      </c>
      <c r="D365">
        <v>1</v>
      </c>
      <c r="E365" t="s">
        <v>95</v>
      </c>
      <c r="F365" s="2">
        <v>45949</v>
      </c>
      <c r="G365" s="3">
        <v>46569</v>
      </c>
      <c r="H365" s="20">
        <v>178.04545454545453</v>
      </c>
      <c r="I365" s="20">
        <v>257.02</v>
      </c>
      <c r="J365" s="20">
        <v>195.85</v>
      </c>
      <c r="K365" s="20">
        <v>189.97</v>
      </c>
      <c r="L365" s="23">
        <v>2.5</v>
      </c>
      <c r="M365" s="20">
        <v>4.75</v>
      </c>
      <c r="N365" s="23">
        <v>2.5</v>
      </c>
      <c r="O365" s="20">
        <v>4.75</v>
      </c>
      <c r="P365" s="20">
        <v>199.47</v>
      </c>
    </row>
    <row r="366" spans="1:16" x14ac:dyDescent="0.35">
      <c r="A366">
        <v>365</v>
      </c>
      <c r="B366" t="s">
        <v>64</v>
      </c>
      <c r="C366" t="s">
        <v>665</v>
      </c>
      <c r="D366">
        <v>6</v>
      </c>
      <c r="E366" t="s">
        <v>95</v>
      </c>
      <c r="F366" s="2">
        <v>45949</v>
      </c>
      <c r="G366" s="3">
        <v>46844</v>
      </c>
      <c r="H366" s="20">
        <v>107.24545454545454</v>
      </c>
      <c r="I366" s="20">
        <v>154.83000000000001</v>
      </c>
      <c r="J366" s="20">
        <v>117.97</v>
      </c>
      <c r="K366" s="20">
        <v>686.59</v>
      </c>
      <c r="L366" s="23">
        <v>2.5</v>
      </c>
      <c r="M366" s="20">
        <v>17.16</v>
      </c>
      <c r="N366" s="23">
        <v>2.5</v>
      </c>
      <c r="O366" s="20">
        <v>17.16</v>
      </c>
      <c r="P366" s="20">
        <v>720.91</v>
      </c>
    </row>
    <row r="367" spans="1:16" x14ac:dyDescent="0.35">
      <c r="A367">
        <v>366</v>
      </c>
      <c r="B367" t="s">
        <v>666</v>
      </c>
      <c r="C367" t="s">
        <v>675</v>
      </c>
      <c r="D367">
        <v>3</v>
      </c>
      <c r="E367" t="s">
        <v>37</v>
      </c>
      <c r="F367" s="2">
        <v>45949</v>
      </c>
      <c r="G367" s="3">
        <v>46539</v>
      </c>
      <c r="H367" s="20">
        <v>145.32727272727271</v>
      </c>
      <c r="I367" s="20">
        <v>209.81</v>
      </c>
      <c r="J367" s="20">
        <v>159.86000000000001</v>
      </c>
      <c r="K367" s="20">
        <v>465.19</v>
      </c>
      <c r="L367" s="23">
        <v>2.5</v>
      </c>
      <c r="M367" s="20">
        <v>11.63</v>
      </c>
      <c r="N367" s="23">
        <v>2.5</v>
      </c>
      <c r="O367" s="20">
        <v>11.63</v>
      </c>
      <c r="P367" s="20">
        <v>488.45</v>
      </c>
    </row>
    <row r="368" spans="1:16" x14ac:dyDescent="0.35">
      <c r="A368">
        <v>367</v>
      </c>
      <c r="B368" t="s">
        <v>667</v>
      </c>
      <c r="C368" t="s">
        <v>676</v>
      </c>
      <c r="D368">
        <v>3</v>
      </c>
      <c r="E368" t="s">
        <v>37</v>
      </c>
      <c r="F368" s="2">
        <v>45949</v>
      </c>
      <c r="G368" s="3">
        <v>46508</v>
      </c>
      <c r="H368" s="20">
        <v>322.34545454545452</v>
      </c>
      <c r="I368" s="20">
        <v>523</v>
      </c>
      <c r="J368" s="20">
        <v>354.58</v>
      </c>
      <c r="K368" s="20">
        <v>31.91</v>
      </c>
      <c r="L368" s="23">
        <v>9</v>
      </c>
      <c r="M368" s="20">
        <v>92.86</v>
      </c>
      <c r="N368" s="23">
        <v>9</v>
      </c>
      <c r="O368" s="20">
        <v>92.86</v>
      </c>
      <c r="P368" s="20">
        <v>1217.55</v>
      </c>
    </row>
    <row r="369" spans="1:16" x14ac:dyDescent="0.35">
      <c r="A369">
        <v>368</v>
      </c>
      <c r="B369" t="s">
        <v>668</v>
      </c>
      <c r="C369" t="s">
        <v>677</v>
      </c>
      <c r="D369">
        <v>1</v>
      </c>
      <c r="E369" t="s">
        <v>37</v>
      </c>
      <c r="F369" s="2">
        <v>45949</v>
      </c>
      <c r="G369" s="3">
        <v>46631</v>
      </c>
      <c r="H369" s="20">
        <v>277.0454545454545</v>
      </c>
      <c r="I369" s="20">
        <v>449.5</v>
      </c>
      <c r="J369" s="20">
        <v>304.75</v>
      </c>
      <c r="K369" s="20">
        <v>9.14</v>
      </c>
      <c r="L369" s="23">
        <v>9</v>
      </c>
      <c r="M369" s="20">
        <v>26.6</v>
      </c>
      <c r="N369" s="23">
        <v>9</v>
      </c>
      <c r="O369" s="20">
        <v>26.6</v>
      </c>
      <c r="P369" s="20">
        <v>348.81</v>
      </c>
    </row>
    <row r="370" spans="1:16" x14ac:dyDescent="0.35">
      <c r="A370">
        <v>369</v>
      </c>
      <c r="B370" t="s">
        <v>669</v>
      </c>
      <c r="C370" t="s">
        <v>678</v>
      </c>
      <c r="D370">
        <v>2</v>
      </c>
      <c r="E370" t="s">
        <v>37</v>
      </c>
      <c r="F370" s="2">
        <v>45949</v>
      </c>
      <c r="G370" s="3">
        <v>46419</v>
      </c>
      <c r="H370" s="20">
        <v>523.88181818181818</v>
      </c>
      <c r="I370" s="20">
        <v>850</v>
      </c>
      <c r="J370" s="20">
        <v>576.27</v>
      </c>
      <c r="K370" s="20">
        <v>34.58</v>
      </c>
      <c r="L370" s="23">
        <v>9</v>
      </c>
      <c r="M370" s="20">
        <v>100.62</v>
      </c>
      <c r="N370" s="23">
        <v>9</v>
      </c>
      <c r="O370" s="20">
        <v>100.62</v>
      </c>
      <c r="P370" s="20">
        <v>1319.2</v>
      </c>
    </row>
    <row r="371" spans="1:16" x14ac:dyDescent="0.35">
      <c r="A371">
        <v>370</v>
      </c>
      <c r="B371" t="s">
        <v>670</v>
      </c>
      <c r="C371" t="s">
        <v>679</v>
      </c>
      <c r="D371">
        <v>3</v>
      </c>
      <c r="E371" t="s">
        <v>37</v>
      </c>
      <c r="F371" s="2">
        <v>45949</v>
      </c>
      <c r="G371" s="3">
        <v>46478</v>
      </c>
      <c r="H371" s="20">
        <v>151.40909090909091</v>
      </c>
      <c r="I371" s="20">
        <v>218.6</v>
      </c>
      <c r="J371" s="20">
        <v>166.55</v>
      </c>
      <c r="K371" s="20">
        <v>14.99</v>
      </c>
      <c r="L371" s="23">
        <v>2.5</v>
      </c>
      <c r="M371" s="20">
        <v>12.12</v>
      </c>
      <c r="N371" s="23">
        <v>2.5</v>
      </c>
      <c r="O371" s="20">
        <v>12.12</v>
      </c>
      <c r="P371" s="20">
        <v>508.9</v>
      </c>
    </row>
    <row r="372" spans="1:16" x14ac:dyDescent="0.35">
      <c r="A372">
        <v>371</v>
      </c>
      <c r="B372" t="s">
        <v>64</v>
      </c>
      <c r="C372" t="s">
        <v>680</v>
      </c>
      <c r="D372">
        <v>2</v>
      </c>
      <c r="E372" t="s">
        <v>37</v>
      </c>
      <c r="F372" s="2">
        <v>45949</v>
      </c>
      <c r="G372" s="3">
        <v>46539</v>
      </c>
      <c r="H372" s="20">
        <v>122.03636363636363</v>
      </c>
      <c r="I372" s="20">
        <v>176.19</v>
      </c>
      <c r="J372" s="20">
        <v>134.24</v>
      </c>
      <c r="K372" s="20">
        <v>8.0500000000000007</v>
      </c>
      <c r="L372" s="23">
        <v>2.5</v>
      </c>
      <c r="M372" s="20">
        <v>6.51</v>
      </c>
      <c r="N372" s="23">
        <v>2.5</v>
      </c>
      <c r="O372" s="20">
        <v>6.51</v>
      </c>
      <c r="P372" s="20">
        <v>273.45</v>
      </c>
    </row>
    <row r="373" spans="1:16" x14ac:dyDescent="0.35">
      <c r="A373">
        <v>372</v>
      </c>
      <c r="B373" t="s">
        <v>671</v>
      </c>
      <c r="C373" t="s">
        <v>681</v>
      </c>
      <c r="D373">
        <v>1</v>
      </c>
      <c r="E373" t="s">
        <v>37</v>
      </c>
      <c r="F373" s="2">
        <v>45949</v>
      </c>
      <c r="G373" s="3">
        <v>46753</v>
      </c>
      <c r="H373" s="20">
        <v>34.93636363636363</v>
      </c>
      <c r="I373" s="20">
        <v>50.44</v>
      </c>
      <c r="J373" s="20">
        <v>38.43</v>
      </c>
      <c r="K373" s="20">
        <v>1.1499999999999999</v>
      </c>
      <c r="L373" s="23">
        <v>2.5</v>
      </c>
      <c r="M373" s="20">
        <v>0.93</v>
      </c>
      <c r="N373" s="23">
        <v>2.5</v>
      </c>
      <c r="O373" s="20">
        <v>0.93</v>
      </c>
      <c r="P373" s="20">
        <v>39.14</v>
      </c>
    </row>
    <row r="374" spans="1:16" x14ac:dyDescent="0.35">
      <c r="A374">
        <v>373</v>
      </c>
      <c r="B374" t="s">
        <v>672</v>
      </c>
      <c r="C374" t="s">
        <v>682</v>
      </c>
      <c r="D374">
        <v>1</v>
      </c>
      <c r="E374" t="s">
        <v>37</v>
      </c>
      <c r="F374" s="2">
        <v>45949</v>
      </c>
      <c r="G374" s="3">
        <v>46478</v>
      </c>
      <c r="H374" s="20">
        <v>188.30909090909088</v>
      </c>
      <c r="I374" s="20">
        <v>271.88</v>
      </c>
      <c r="J374" s="20">
        <v>207.14</v>
      </c>
      <c r="K374" s="20">
        <v>6.21</v>
      </c>
      <c r="L374" s="23">
        <v>2.5</v>
      </c>
      <c r="M374" s="20">
        <v>5.0199999999999996</v>
      </c>
      <c r="N374" s="23">
        <v>2.5</v>
      </c>
      <c r="O374" s="20">
        <v>5.0199999999999996</v>
      </c>
      <c r="P374" s="20">
        <v>210.97</v>
      </c>
    </row>
    <row r="375" spans="1:16" x14ac:dyDescent="0.35">
      <c r="A375">
        <v>374</v>
      </c>
      <c r="B375" t="s">
        <v>444</v>
      </c>
      <c r="C375" t="s">
        <v>683</v>
      </c>
      <c r="D375">
        <v>1</v>
      </c>
      <c r="E375" t="s">
        <v>37</v>
      </c>
      <c r="F375" s="2">
        <v>45949</v>
      </c>
      <c r="G375" s="3">
        <v>46478</v>
      </c>
      <c r="H375" s="20">
        <v>243.5090909090909</v>
      </c>
      <c r="I375" s="20">
        <v>351.56</v>
      </c>
      <c r="J375" s="20">
        <v>267.86</v>
      </c>
      <c r="K375" s="20">
        <v>8.0399999999999991</v>
      </c>
      <c r="L375" s="23">
        <v>2.5</v>
      </c>
      <c r="M375" s="20">
        <v>6.5</v>
      </c>
      <c r="N375" s="23">
        <v>2.5</v>
      </c>
      <c r="O375" s="20">
        <v>6.5</v>
      </c>
      <c r="P375" s="20">
        <v>272.82</v>
      </c>
    </row>
    <row r="376" spans="1:16" x14ac:dyDescent="0.35">
      <c r="A376">
        <v>375</v>
      </c>
      <c r="B376" t="s">
        <v>673</v>
      </c>
      <c r="C376" t="s">
        <v>684</v>
      </c>
      <c r="D376">
        <v>2</v>
      </c>
      <c r="E376" t="s">
        <v>37</v>
      </c>
      <c r="F376" s="2">
        <v>45949</v>
      </c>
      <c r="G376" s="3">
        <v>46508</v>
      </c>
      <c r="H376" s="20">
        <v>30.9</v>
      </c>
      <c r="I376" s="20">
        <v>44.62</v>
      </c>
      <c r="J376" s="20">
        <v>33.99</v>
      </c>
      <c r="K376" s="20">
        <v>2.04</v>
      </c>
      <c r="L376" s="23">
        <v>2.5</v>
      </c>
      <c r="M376" s="20">
        <v>1.65</v>
      </c>
      <c r="N376" s="23">
        <v>2.5</v>
      </c>
      <c r="O376" s="20">
        <v>1.65</v>
      </c>
      <c r="P376" s="20">
        <v>69.239999999999995</v>
      </c>
    </row>
    <row r="377" spans="1:16" x14ac:dyDescent="0.35">
      <c r="A377">
        <v>376</v>
      </c>
      <c r="B377" t="s">
        <v>656</v>
      </c>
      <c r="C377" t="s">
        <v>685</v>
      </c>
      <c r="D377">
        <v>1</v>
      </c>
      <c r="E377" t="s">
        <v>37</v>
      </c>
      <c r="F377" s="2">
        <v>45949</v>
      </c>
      <c r="G377" s="3">
        <v>46539</v>
      </c>
      <c r="H377" s="20">
        <v>87.272727272727266</v>
      </c>
      <c r="I377" s="20">
        <v>126</v>
      </c>
      <c r="J377" s="20">
        <v>96</v>
      </c>
      <c r="K377" s="20">
        <v>2.88</v>
      </c>
      <c r="L377" s="23">
        <v>2.5</v>
      </c>
      <c r="M377" s="20">
        <v>2.33</v>
      </c>
      <c r="N377" s="23">
        <v>2.5</v>
      </c>
      <c r="O377" s="20">
        <v>2.33</v>
      </c>
      <c r="P377" s="20">
        <v>97.78</v>
      </c>
    </row>
    <row r="378" spans="1:16" x14ac:dyDescent="0.35">
      <c r="A378">
        <v>377</v>
      </c>
      <c r="B378" t="s">
        <v>654</v>
      </c>
      <c r="C378" t="s">
        <v>660</v>
      </c>
      <c r="D378">
        <v>2</v>
      </c>
      <c r="E378" t="s">
        <v>37</v>
      </c>
      <c r="F378" s="2">
        <v>45949</v>
      </c>
      <c r="G378" s="3">
        <v>46600</v>
      </c>
      <c r="H378" s="20">
        <v>89.418181818181807</v>
      </c>
      <c r="I378" s="20">
        <v>129.1</v>
      </c>
      <c r="J378" s="20">
        <v>98.36</v>
      </c>
      <c r="K378" s="20">
        <v>5.9</v>
      </c>
      <c r="L378" s="23">
        <v>2.5</v>
      </c>
      <c r="M378" s="20">
        <v>4.7699999999999996</v>
      </c>
      <c r="N378" s="23">
        <v>2.5</v>
      </c>
      <c r="O378" s="20">
        <v>4.7699999999999996</v>
      </c>
      <c r="P378" s="20">
        <v>200.36</v>
      </c>
    </row>
    <row r="379" spans="1:16" x14ac:dyDescent="0.35">
      <c r="A379">
        <v>378</v>
      </c>
      <c r="B379" t="s">
        <v>674</v>
      </c>
      <c r="C379" t="s">
        <v>686</v>
      </c>
      <c r="D379">
        <v>1</v>
      </c>
      <c r="E379" t="s">
        <v>37</v>
      </c>
      <c r="F379" s="2">
        <v>45949</v>
      </c>
      <c r="G379" s="3">
        <v>46539</v>
      </c>
      <c r="H379" s="20">
        <v>219.93636363636364</v>
      </c>
      <c r="I379" s="20">
        <v>317.52999999999997</v>
      </c>
      <c r="J379" s="20">
        <v>241.93</v>
      </c>
      <c r="K379" s="20">
        <v>7.26</v>
      </c>
      <c r="L379" s="23">
        <v>2.5</v>
      </c>
      <c r="M379" s="20">
        <v>5.87</v>
      </c>
      <c r="N379" s="23">
        <v>2.5</v>
      </c>
      <c r="O379" s="20">
        <v>5.87</v>
      </c>
      <c r="P379" s="20">
        <v>246.41</v>
      </c>
    </row>
    <row r="380" spans="1:16" x14ac:dyDescent="0.35">
      <c r="A380">
        <v>379</v>
      </c>
      <c r="B380" t="s">
        <v>687</v>
      </c>
      <c r="C380" t="s">
        <v>694</v>
      </c>
      <c r="D380">
        <v>2</v>
      </c>
      <c r="E380" t="s">
        <v>37</v>
      </c>
      <c r="F380" s="2">
        <v>45950</v>
      </c>
      <c r="G380" s="3">
        <v>46600</v>
      </c>
      <c r="H380" s="20">
        <v>511.55454545454546</v>
      </c>
      <c r="I380" s="20">
        <v>830</v>
      </c>
      <c r="J380" s="20">
        <v>562.71</v>
      </c>
      <c r="K380" s="20">
        <v>1091.6600000000001</v>
      </c>
      <c r="L380" s="23">
        <v>9</v>
      </c>
      <c r="M380" s="20">
        <v>98.25</v>
      </c>
      <c r="N380" s="23">
        <v>9</v>
      </c>
      <c r="O380" s="20">
        <v>98.25</v>
      </c>
      <c r="P380" s="20">
        <v>1288.1600000000001</v>
      </c>
    </row>
    <row r="381" spans="1:16" x14ac:dyDescent="0.35">
      <c r="A381">
        <v>380</v>
      </c>
      <c r="B381" t="s">
        <v>688</v>
      </c>
      <c r="C381" t="s">
        <v>695</v>
      </c>
      <c r="D381">
        <v>3</v>
      </c>
      <c r="E381" t="s">
        <v>37</v>
      </c>
      <c r="F381" s="2">
        <v>45950</v>
      </c>
      <c r="G381" s="3">
        <v>46753</v>
      </c>
      <c r="H381" s="20">
        <v>229.81818181818181</v>
      </c>
      <c r="I381" s="20">
        <v>331.8</v>
      </c>
      <c r="J381" s="20">
        <v>252.8</v>
      </c>
      <c r="K381" s="20">
        <v>735.65</v>
      </c>
      <c r="L381" s="23">
        <v>2.5</v>
      </c>
      <c r="M381" s="20">
        <v>18.39</v>
      </c>
      <c r="N381" s="23">
        <v>2.5</v>
      </c>
      <c r="O381" s="20">
        <v>18.39</v>
      </c>
      <c r="P381" s="20">
        <v>772.43</v>
      </c>
    </row>
    <row r="382" spans="1:16" x14ac:dyDescent="0.35">
      <c r="A382">
        <v>381</v>
      </c>
      <c r="B382" t="s">
        <v>689</v>
      </c>
      <c r="C382" t="s">
        <v>696</v>
      </c>
      <c r="D382">
        <v>1</v>
      </c>
      <c r="E382" t="s">
        <v>37</v>
      </c>
      <c r="F382" s="2">
        <v>45950</v>
      </c>
      <c r="G382" s="3">
        <v>46447</v>
      </c>
      <c r="H382" s="20">
        <v>98.372727272727261</v>
      </c>
      <c r="I382" s="20">
        <v>142.03</v>
      </c>
      <c r="J382" s="20">
        <v>108.21</v>
      </c>
      <c r="K382" s="20">
        <v>104.96</v>
      </c>
      <c r="L382" s="23">
        <v>2.5</v>
      </c>
      <c r="M382" s="20">
        <v>2.62</v>
      </c>
      <c r="N382" s="23">
        <v>2.5</v>
      </c>
      <c r="O382" s="20">
        <v>2.62</v>
      </c>
      <c r="P382" s="20">
        <v>110.2</v>
      </c>
    </row>
    <row r="383" spans="1:16" x14ac:dyDescent="0.35">
      <c r="A383">
        <v>382</v>
      </c>
      <c r="B383" t="s">
        <v>690</v>
      </c>
      <c r="C383" s="4" t="s">
        <v>700</v>
      </c>
      <c r="D383">
        <v>10</v>
      </c>
      <c r="E383" t="s">
        <v>37</v>
      </c>
      <c r="F383" s="2">
        <v>45950</v>
      </c>
      <c r="G383" s="3">
        <v>46844</v>
      </c>
      <c r="H383" s="20">
        <v>29.072727272727271</v>
      </c>
      <c r="I383" s="20">
        <v>41.97</v>
      </c>
      <c r="J383" s="20">
        <v>31.98</v>
      </c>
      <c r="K383" s="20">
        <v>313.39999999999998</v>
      </c>
      <c r="L383" s="23">
        <v>2.5</v>
      </c>
      <c r="M383" s="20">
        <v>7.84</v>
      </c>
      <c r="N383" s="23">
        <v>2.5</v>
      </c>
      <c r="O383" s="20">
        <v>7.84</v>
      </c>
      <c r="P383" s="20">
        <v>329.08</v>
      </c>
    </row>
    <row r="384" spans="1:16" x14ac:dyDescent="0.35">
      <c r="A384">
        <v>383</v>
      </c>
      <c r="B384" t="s">
        <v>691</v>
      </c>
      <c r="C384" t="s">
        <v>697</v>
      </c>
      <c r="D384">
        <v>1</v>
      </c>
      <c r="E384" t="s">
        <v>37</v>
      </c>
      <c r="F384" s="2">
        <v>45950</v>
      </c>
      <c r="G384" s="3">
        <v>46539</v>
      </c>
      <c r="H384" s="20">
        <v>128.23636363636362</v>
      </c>
      <c r="I384" s="20">
        <v>185.15</v>
      </c>
      <c r="J384" s="20">
        <v>141.06</v>
      </c>
      <c r="K384" s="20">
        <v>136.83000000000001</v>
      </c>
      <c r="L384" s="23">
        <v>2.5</v>
      </c>
      <c r="M384" s="20">
        <v>3.42</v>
      </c>
      <c r="N384" s="23">
        <v>2.5</v>
      </c>
      <c r="O384" s="20">
        <v>3.42</v>
      </c>
      <c r="P384" s="20">
        <v>143.66999999999999</v>
      </c>
    </row>
    <row r="385" spans="1:16" x14ac:dyDescent="0.35">
      <c r="A385">
        <v>384</v>
      </c>
      <c r="B385" t="s">
        <v>692</v>
      </c>
      <c r="C385" t="s">
        <v>698</v>
      </c>
      <c r="D385">
        <v>3</v>
      </c>
      <c r="E385" t="s">
        <v>37</v>
      </c>
      <c r="F385" s="2">
        <v>45950</v>
      </c>
      <c r="G385" s="3">
        <v>46569</v>
      </c>
      <c r="H385" s="20">
        <v>91.554545454545448</v>
      </c>
      <c r="I385" s="20">
        <v>132.19</v>
      </c>
      <c r="J385" s="20">
        <v>100.71</v>
      </c>
      <c r="K385" s="20">
        <v>293.07</v>
      </c>
      <c r="L385" s="23">
        <v>2.5</v>
      </c>
      <c r="M385" s="20">
        <v>7.33</v>
      </c>
      <c r="N385" s="23">
        <v>2.5</v>
      </c>
      <c r="O385" s="20">
        <v>7.33</v>
      </c>
      <c r="P385" s="20">
        <v>307.73</v>
      </c>
    </row>
    <row r="386" spans="1:16" x14ac:dyDescent="0.35">
      <c r="A386">
        <v>385</v>
      </c>
      <c r="B386" t="s">
        <v>693</v>
      </c>
      <c r="C386" t="s">
        <v>699</v>
      </c>
      <c r="D386">
        <v>1</v>
      </c>
      <c r="E386" t="s">
        <v>37</v>
      </c>
      <c r="F386" s="2">
        <v>45950</v>
      </c>
      <c r="G386" s="3">
        <v>46600</v>
      </c>
      <c r="H386" s="20">
        <v>272.41818181818184</v>
      </c>
      <c r="I386" s="20">
        <v>442</v>
      </c>
      <c r="J386" s="20">
        <v>299.66000000000003</v>
      </c>
      <c r="K386" s="20">
        <v>290.67</v>
      </c>
      <c r="L386" s="23">
        <v>9</v>
      </c>
      <c r="M386" s="20">
        <v>26.16</v>
      </c>
      <c r="N386" s="23">
        <v>9</v>
      </c>
      <c r="O386" s="20">
        <v>26.16</v>
      </c>
      <c r="P386" s="20">
        <v>342.99</v>
      </c>
    </row>
    <row r="387" spans="1:16" x14ac:dyDescent="0.35">
      <c r="A387">
        <v>386</v>
      </c>
      <c r="B387" t="s">
        <v>701</v>
      </c>
      <c r="C387" t="s">
        <v>702</v>
      </c>
      <c r="D387">
        <v>5</v>
      </c>
      <c r="E387" t="s">
        <v>134</v>
      </c>
      <c r="F387" s="2">
        <v>45950</v>
      </c>
      <c r="G387" s="3">
        <v>46478</v>
      </c>
      <c r="H387" s="20">
        <v>372.72727272727269</v>
      </c>
      <c r="I387" s="20">
        <v>590</v>
      </c>
      <c r="J387" s="20">
        <v>410</v>
      </c>
      <c r="K387" s="20">
        <f>P387-M387-O387</f>
        <v>1988.52</v>
      </c>
      <c r="L387" s="23">
        <v>9</v>
      </c>
      <c r="M387" s="20">
        <v>178.96</v>
      </c>
      <c r="N387" s="23">
        <v>9</v>
      </c>
      <c r="O387" s="20">
        <v>178.96</v>
      </c>
      <c r="P387" s="20">
        <v>2346.44</v>
      </c>
    </row>
    <row r="388" spans="1:16" x14ac:dyDescent="0.35">
      <c r="A388">
        <v>387</v>
      </c>
      <c r="B388" t="s">
        <v>703</v>
      </c>
      <c r="C388" t="s">
        <v>709</v>
      </c>
      <c r="D388">
        <v>1</v>
      </c>
      <c r="E388" t="s">
        <v>131</v>
      </c>
      <c r="F388" s="2">
        <v>45951</v>
      </c>
      <c r="G388" s="3">
        <v>46478</v>
      </c>
      <c r="H388" s="20">
        <v>292.20909090909089</v>
      </c>
      <c r="I388" s="20">
        <v>421.88</v>
      </c>
      <c r="J388" s="20">
        <v>321.43</v>
      </c>
      <c r="K388" s="20">
        <v>311.79000000000002</v>
      </c>
      <c r="L388" s="23">
        <v>2.5</v>
      </c>
      <c r="M388" s="20">
        <v>7.79</v>
      </c>
      <c r="N388" s="23">
        <v>2.5</v>
      </c>
      <c r="O388" s="20">
        <v>7.79</v>
      </c>
      <c r="P388" s="20">
        <v>327.37</v>
      </c>
    </row>
    <row r="389" spans="1:16" x14ac:dyDescent="0.35">
      <c r="A389">
        <v>388</v>
      </c>
      <c r="B389" t="s">
        <v>704</v>
      </c>
      <c r="C389" t="s">
        <v>710</v>
      </c>
      <c r="D389">
        <v>1</v>
      </c>
      <c r="E389" t="s">
        <v>131</v>
      </c>
      <c r="F389" s="2">
        <v>45951</v>
      </c>
      <c r="G389" s="3">
        <v>46539</v>
      </c>
      <c r="H389" s="20">
        <v>103.24545454545454</v>
      </c>
      <c r="I389" s="20">
        <v>149.06</v>
      </c>
      <c r="J389" s="20">
        <v>113.57</v>
      </c>
      <c r="K389" s="20">
        <v>110.16</v>
      </c>
      <c r="L389" s="23">
        <v>2.5</v>
      </c>
      <c r="M389" s="20">
        <v>2.75</v>
      </c>
      <c r="N389" s="23">
        <v>2.5</v>
      </c>
      <c r="O389" s="20">
        <v>2.75</v>
      </c>
      <c r="P389" s="20">
        <v>115.66</v>
      </c>
    </row>
    <row r="390" spans="1:16" x14ac:dyDescent="0.35">
      <c r="A390">
        <v>389</v>
      </c>
      <c r="B390" t="s">
        <v>705</v>
      </c>
      <c r="C390" t="s">
        <v>711</v>
      </c>
      <c r="D390">
        <v>3</v>
      </c>
      <c r="E390" t="s">
        <v>131</v>
      </c>
      <c r="F390" s="2">
        <v>45951</v>
      </c>
      <c r="G390" s="3">
        <v>46447</v>
      </c>
      <c r="H390" s="20">
        <v>27.09090909090909</v>
      </c>
      <c r="I390" s="20">
        <v>82.97</v>
      </c>
      <c r="J390" s="20">
        <v>29.8</v>
      </c>
      <c r="K390" s="20">
        <v>89.4</v>
      </c>
      <c r="L390" s="23">
        <v>2.5</v>
      </c>
      <c r="M390" s="20">
        <v>2.2400000000000002</v>
      </c>
      <c r="N390" s="23">
        <v>2.5</v>
      </c>
      <c r="O390" s="20">
        <v>2.2400000000000002</v>
      </c>
      <c r="P390" s="20">
        <v>93.88</v>
      </c>
    </row>
    <row r="391" spans="1:16" x14ac:dyDescent="0.35">
      <c r="A391">
        <v>390</v>
      </c>
      <c r="B391" t="s">
        <v>706</v>
      </c>
      <c r="C391" t="s">
        <v>712</v>
      </c>
      <c r="D391">
        <v>1</v>
      </c>
      <c r="E391" t="s">
        <v>131</v>
      </c>
      <c r="F391" s="2">
        <v>45951</v>
      </c>
      <c r="G391" s="3">
        <v>46508</v>
      </c>
      <c r="H391" s="20">
        <v>314.93636363636364</v>
      </c>
      <c r="I391" s="20">
        <v>454.69</v>
      </c>
      <c r="J391" s="20">
        <v>346.43</v>
      </c>
      <c r="K391" s="20">
        <v>336.04</v>
      </c>
      <c r="L391" s="23">
        <v>2.5</v>
      </c>
      <c r="M391" s="20">
        <v>8.4</v>
      </c>
      <c r="N391" s="23">
        <v>2.5</v>
      </c>
      <c r="O391" s="20">
        <v>8.4</v>
      </c>
      <c r="P391" s="20">
        <v>352.84</v>
      </c>
    </row>
    <row r="392" spans="1:16" x14ac:dyDescent="0.35">
      <c r="A392">
        <v>391</v>
      </c>
      <c r="B392" t="s">
        <v>707</v>
      </c>
      <c r="C392" t="s">
        <v>713</v>
      </c>
      <c r="D392">
        <v>10</v>
      </c>
      <c r="E392" t="s">
        <v>131</v>
      </c>
      <c r="F392" s="2">
        <v>45951</v>
      </c>
      <c r="G392" s="3">
        <v>46478</v>
      </c>
      <c r="H392" s="20">
        <v>6.8909090909090907</v>
      </c>
      <c r="I392" s="20">
        <v>21.94</v>
      </c>
      <c r="J392" s="20">
        <v>7.58</v>
      </c>
      <c r="K392" s="20">
        <v>75.8</v>
      </c>
      <c r="L392" s="23">
        <v>2.5</v>
      </c>
      <c r="M392" s="20">
        <v>1.9</v>
      </c>
      <c r="N392" s="23">
        <v>2.5</v>
      </c>
      <c r="O392" s="20">
        <v>1.9</v>
      </c>
      <c r="P392" s="20">
        <v>79.599999999999994</v>
      </c>
    </row>
    <row r="393" spans="1:16" x14ac:dyDescent="0.35">
      <c r="A393">
        <v>392</v>
      </c>
      <c r="B393" t="s">
        <v>708</v>
      </c>
      <c r="C393" t="s">
        <v>714</v>
      </c>
      <c r="D393">
        <v>4</v>
      </c>
      <c r="E393" t="s">
        <v>131</v>
      </c>
      <c r="F393" s="2">
        <v>45951</v>
      </c>
      <c r="G393" s="3">
        <v>46388</v>
      </c>
      <c r="H393" s="20">
        <v>112.99090909090908</v>
      </c>
      <c r="I393" s="20">
        <v>163.13</v>
      </c>
      <c r="J393" s="20">
        <v>124.29</v>
      </c>
      <c r="K393" s="20">
        <v>482.25</v>
      </c>
      <c r="L393" s="23">
        <v>2.5</v>
      </c>
      <c r="M393" s="20">
        <v>12.06</v>
      </c>
      <c r="N393" s="23">
        <v>2.5</v>
      </c>
      <c r="O393" s="20">
        <v>12.06</v>
      </c>
      <c r="P393" s="20">
        <v>506.37</v>
      </c>
    </row>
    <row r="394" spans="1:16" x14ac:dyDescent="0.35">
      <c r="A394">
        <v>393</v>
      </c>
      <c r="B394" t="s">
        <v>708</v>
      </c>
      <c r="C394" t="s">
        <v>715</v>
      </c>
      <c r="D394">
        <v>1</v>
      </c>
      <c r="E394" t="s">
        <v>131</v>
      </c>
      <c r="F394" s="2">
        <v>45951</v>
      </c>
      <c r="G394" s="3">
        <v>46478</v>
      </c>
      <c r="H394" s="20">
        <v>112.99090909090908</v>
      </c>
      <c r="I394" s="20">
        <v>163.13</v>
      </c>
      <c r="J394" s="20">
        <v>124.29</v>
      </c>
      <c r="K394" s="20">
        <v>120.56</v>
      </c>
      <c r="L394" s="23">
        <v>2.5</v>
      </c>
      <c r="M394" s="20">
        <v>3.01</v>
      </c>
      <c r="N394" s="23">
        <v>2.5</v>
      </c>
      <c r="O394" s="20">
        <v>3.01</v>
      </c>
      <c r="P394" s="20">
        <v>126.58</v>
      </c>
    </row>
    <row r="395" spans="1:16" x14ac:dyDescent="0.35">
      <c r="A395">
        <v>394</v>
      </c>
      <c r="B395" t="s">
        <v>12</v>
      </c>
      <c r="C395" t="s">
        <v>24</v>
      </c>
      <c r="D395">
        <v>1</v>
      </c>
      <c r="E395" t="s">
        <v>37</v>
      </c>
      <c r="F395" s="2">
        <v>45951</v>
      </c>
      <c r="G395" s="3">
        <v>46478</v>
      </c>
      <c r="H395" s="20">
        <v>155.31818181818181</v>
      </c>
      <c r="I395" s="20">
        <v>252</v>
      </c>
      <c r="J395" s="20">
        <v>170.85</v>
      </c>
      <c r="K395" s="20">
        <v>165.72</v>
      </c>
      <c r="L395" s="23">
        <v>9</v>
      </c>
      <c r="M395" s="20">
        <v>14.91</v>
      </c>
      <c r="N395" s="23">
        <v>9</v>
      </c>
      <c r="O395" s="20">
        <v>14.91</v>
      </c>
      <c r="P395" s="20">
        <v>195.54</v>
      </c>
    </row>
    <row r="396" spans="1:16" x14ac:dyDescent="0.35">
      <c r="A396">
        <v>395</v>
      </c>
      <c r="B396" t="s">
        <v>716</v>
      </c>
      <c r="C396" t="s">
        <v>725</v>
      </c>
      <c r="D396">
        <v>10</v>
      </c>
      <c r="E396" t="s">
        <v>37</v>
      </c>
      <c r="F396" s="2">
        <v>45951</v>
      </c>
      <c r="G396" s="3">
        <v>46569</v>
      </c>
      <c r="H396" s="20">
        <v>81.818181818181813</v>
      </c>
      <c r="I396" s="20">
        <v>118.13</v>
      </c>
      <c r="J396" s="20">
        <v>90</v>
      </c>
      <c r="K396" s="20">
        <v>873</v>
      </c>
      <c r="L396" s="23">
        <v>2.5</v>
      </c>
      <c r="M396" s="20">
        <v>21.83</v>
      </c>
      <c r="N396" s="23">
        <v>2.5</v>
      </c>
      <c r="O396" s="20">
        <v>21.83</v>
      </c>
      <c r="P396" s="20">
        <v>916.66</v>
      </c>
    </row>
    <row r="397" spans="1:16" x14ac:dyDescent="0.35">
      <c r="A397">
        <v>396</v>
      </c>
      <c r="B397" t="s">
        <v>717</v>
      </c>
      <c r="C397" t="s">
        <v>726</v>
      </c>
      <c r="D397">
        <v>1</v>
      </c>
      <c r="E397" t="s">
        <v>37</v>
      </c>
      <c r="F397" s="2">
        <v>45951</v>
      </c>
      <c r="G397" s="3">
        <v>46204</v>
      </c>
      <c r="H397" s="20">
        <v>71.418181818181822</v>
      </c>
      <c r="I397" s="20">
        <v>103.13</v>
      </c>
      <c r="J397" s="20">
        <v>78.56</v>
      </c>
      <c r="K397" s="20">
        <v>76.2</v>
      </c>
      <c r="L397" s="23">
        <v>2.5</v>
      </c>
      <c r="M397" s="20">
        <v>1.91</v>
      </c>
      <c r="N397" s="23">
        <v>2.5</v>
      </c>
      <c r="O397" s="20">
        <v>1.91</v>
      </c>
      <c r="P397" s="20">
        <v>80.02</v>
      </c>
    </row>
    <row r="398" spans="1:16" x14ac:dyDescent="0.35">
      <c r="A398">
        <v>397</v>
      </c>
      <c r="B398" t="s">
        <v>718</v>
      </c>
      <c r="C398" t="s">
        <v>727</v>
      </c>
      <c r="D398">
        <v>1</v>
      </c>
      <c r="E398" t="s">
        <v>37</v>
      </c>
      <c r="F398" s="2">
        <v>45951</v>
      </c>
      <c r="G398" s="3">
        <v>46327</v>
      </c>
      <c r="H398" s="20">
        <v>78.98181818181817</v>
      </c>
      <c r="I398" s="20">
        <v>114.03</v>
      </c>
      <c r="J398" s="20">
        <v>86.88</v>
      </c>
      <c r="K398" s="20">
        <v>84.27</v>
      </c>
      <c r="L398" s="23">
        <v>2.5</v>
      </c>
      <c r="M398" s="20">
        <v>2.11</v>
      </c>
      <c r="N398" s="23">
        <v>2.5</v>
      </c>
      <c r="O398" s="20">
        <v>2.11</v>
      </c>
      <c r="P398" s="20">
        <v>88.49</v>
      </c>
    </row>
    <row r="399" spans="1:16" x14ac:dyDescent="0.35">
      <c r="A399">
        <v>398</v>
      </c>
      <c r="B399" t="s">
        <v>719</v>
      </c>
      <c r="C399" t="s">
        <v>728</v>
      </c>
      <c r="D399">
        <v>3</v>
      </c>
      <c r="E399" t="s">
        <v>37</v>
      </c>
      <c r="F399" s="2">
        <v>45951</v>
      </c>
      <c r="G399" s="3">
        <v>47761</v>
      </c>
      <c r="H399" s="20">
        <v>46.609090909090909</v>
      </c>
      <c r="I399" s="20">
        <v>67.290000000000006</v>
      </c>
      <c r="J399" s="20">
        <v>51.27</v>
      </c>
      <c r="K399" s="20">
        <v>149.19999999999999</v>
      </c>
      <c r="L399" s="23">
        <v>2.5</v>
      </c>
      <c r="M399" s="20">
        <v>3.73</v>
      </c>
      <c r="N399" s="23">
        <v>2.5</v>
      </c>
      <c r="O399" s="20">
        <v>3.73</v>
      </c>
      <c r="P399" s="20">
        <v>156.66</v>
      </c>
    </row>
    <row r="400" spans="1:16" x14ac:dyDescent="0.35">
      <c r="A400">
        <v>399</v>
      </c>
      <c r="B400" t="s">
        <v>720</v>
      </c>
      <c r="C400" t="s">
        <v>729</v>
      </c>
      <c r="D400">
        <v>4</v>
      </c>
      <c r="E400" t="s">
        <v>37</v>
      </c>
      <c r="F400" s="2">
        <v>45951</v>
      </c>
      <c r="G400" s="3">
        <v>46419</v>
      </c>
      <c r="H400" s="20">
        <v>155.14545454545453</v>
      </c>
      <c r="I400" s="20">
        <v>224</v>
      </c>
      <c r="J400" s="20">
        <v>170.66</v>
      </c>
      <c r="K400" s="20">
        <v>662.16</v>
      </c>
      <c r="L400" s="23">
        <v>2.5</v>
      </c>
      <c r="M400" s="20">
        <v>16.55</v>
      </c>
      <c r="N400" s="23">
        <v>2.5</v>
      </c>
      <c r="O400" s="20">
        <v>16.55</v>
      </c>
      <c r="P400" s="20">
        <v>695.26</v>
      </c>
    </row>
    <row r="401" spans="1:16" x14ac:dyDescent="0.35">
      <c r="A401">
        <v>400</v>
      </c>
      <c r="B401" t="s">
        <v>721</v>
      </c>
      <c r="C401" t="s">
        <v>730</v>
      </c>
      <c r="D401">
        <v>28</v>
      </c>
      <c r="E401" t="s">
        <v>37</v>
      </c>
      <c r="F401" s="2">
        <v>45951</v>
      </c>
      <c r="G401" s="3">
        <v>46539</v>
      </c>
      <c r="H401" s="20">
        <v>15.963636363636361</v>
      </c>
      <c r="I401" s="20">
        <v>23.05</v>
      </c>
      <c r="J401" s="20">
        <v>17.559999999999999</v>
      </c>
      <c r="K401" s="20">
        <v>476.93</v>
      </c>
      <c r="L401" s="23">
        <v>2.5</v>
      </c>
      <c r="M401" s="20">
        <v>11.92</v>
      </c>
      <c r="N401" s="23">
        <v>2.5</v>
      </c>
      <c r="O401" s="20">
        <v>11.92</v>
      </c>
      <c r="P401" s="20">
        <v>500.72</v>
      </c>
    </row>
    <row r="402" spans="1:16" x14ac:dyDescent="0.35">
      <c r="A402">
        <v>401</v>
      </c>
      <c r="B402" t="s">
        <v>722</v>
      </c>
      <c r="C402" t="s">
        <v>731</v>
      </c>
      <c r="D402">
        <v>6</v>
      </c>
      <c r="E402" t="s">
        <v>37</v>
      </c>
      <c r="F402" s="2">
        <v>45951</v>
      </c>
      <c r="G402" s="3">
        <v>46478</v>
      </c>
      <c r="H402" s="20">
        <v>159.19090909090909</v>
      </c>
      <c r="I402" s="20">
        <v>229.83</v>
      </c>
      <c r="J402" s="20">
        <v>175.11</v>
      </c>
      <c r="K402" s="20">
        <v>1019.14</v>
      </c>
      <c r="L402" s="23">
        <v>2.5</v>
      </c>
      <c r="M402" s="20">
        <v>25.48</v>
      </c>
      <c r="N402" s="23">
        <v>2.5</v>
      </c>
      <c r="O402" s="20">
        <v>25.48</v>
      </c>
      <c r="P402" s="20">
        <v>1070.0999999999999</v>
      </c>
    </row>
    <row r="403" spans="1:16" x14ac:dyDescent="0.35">
      <c r="A403">
        <v>402</v>
      </c>
      <c r="B403" t="s">
        <v>723</v>
      </c>
      <c r="C403" t="s">
        <v>732</v>
      </c>
      <c r="D403">
        <v>4</v>
      </c>
      <c r="E403" t="s">
        <v>37</v>
      </c>
      <c r="F403" s="2">
        <v>45951</v>
      </c>
      <c r="G403" s="3">
        <v>46539</v>
      </c>
      <c r="H403" s="20">
        <v>114.55454545454545</v>
      </c>
      <c r="I403" s="20">
        <v>165.47</v>
      </c>
      <c r="J403" s="20">
        <v>126.01</v>
      </c>
      <c r="K403" s="20">
        <v>489.15</v>
      </c>
      <c r="L403" s="23">
        <v>2.5</v>
      </c>
      <c r="M403" s="20">
        <v>12.23</v>
      </c>
      <c r="N403" s="23">
        <v>2.5</v>
      </c>
      <c r="O403" s="20">
        <v>12.23</v>
      </c>
      <c r="P403" s="20">
        <v>513.6</v>
      </c>
    </row>
    <row r="404" spans="1:16" x14ac:dyDescent="0.35">
      <c r="A404">
        <v>403</v>
      </c>
      <c r="B404" t="s">
        <v>724</v>
      </c>
      <c r="C404" t="s">
        <v>733</v>
      </c>
      <c r="D404">
        <v>2</v>
      </c>
      <c r="E404" t="s">
        <v>37</v>
      </c>
      <c r="F404" s="2">
        <v>45951</v>
      </c>
      <c r="G404" s="3">
        <v>46478</v>
      </c>
      <c r="H404" s="20">
        <v>246.75454545454545</v>
      </c>
      <c r="I404" s="20">
        <v>356.25</v>
      </c>
      <c r="J404" s="20">
        <v>271.43</v>
      </c>
      <c r="K404" s="20">
        <v>536.57000000000005</v>
      </c>
      <c r="L404" s="23">
        <v>2.5</v>
      </c>
      <c r="M404" s="20">
        <v>13.16</v>
      </c>
      <c r="N404" s="23">
        <v>2.5</v>
      </c>
      <c r="O404" s="20">
        <v>13.16</v>
      </c>
      <c r="P404" s="20">
        <v>552.89</v>
      </c>
    </row>
    <row r="405" spans="1:16" x14ac:dyDescent="0.35">
      <c r="A405">
        <v>404</v>
      </c>
      <c r="B405" t="s">
        <v>734</v>
      </c>
      <c r="C405" t="s">
        <v>737</v>
      </c>
      <c r="D405">
        <v>2</v>
      </c>
      <c r="E405" t="s">
        <v>134</v>
      </c>
      <c r="F405" s="2">
        <v>45951</v>
      </c>
      <c r="G405" s="3">
        <v>46508</v>
      </c>
      <c r="H405" s="20">
        <v>874.96363636363628</v>
      </c>
      <c r="I405" s="20">
        <v>1232.3699999999999</v>
      </c>
      <c r="J405" s="20">
        <v>962.46</v>
      </c>
      <c r="K405" s="20">
        <f>P405-M405-O405</f>
        <v>1867.1699999999998</v>
      </c>
      <c r="L405" s="23">
        <v>2.5</v>
      </c>
      <c r="M405" s="20">
        <v>46.68</v>
      </c>
      <c r="N405" s="23">
        <v>2.5</v>
      </c>
      <c r="O405" s="20">
        <v>46.68</v>
      </c>
      <c r="P405" s="20">
        <v>1960.53</v>
      </c>
    </row>
    <row r="406" spans="1:16" x14ac:dyDescent="0.35">
      <c r="A406">
        <v>405</v>
      </c>
      <c r="B406" t="s">
        <v>735</v>
      </c>
      <c r="C406" t="s">
        <v>738</v>
      </c>
      <c r="D406">
        <v>2</v>
      </c>
      <c r="E406" t="s">
        <v>134</v>
      </c>
      <c r="F406" s="2">
        <v>45951</v>
      </c>
      <c r="G406" s="3">
        <v>46357</v>
      </c>
      <c r="H406" s="20">
        <v>555.29999999999995</v>
      </c>
      <c r="I406" s="20">
        <v>782.13</v>
      </c>
      <c r="J406" s="20">
        <v>610.83000000000004</v>
      </c>
      <c r="K406" s="20">
        <f>P406-M406-O406</f>
        <v>1185.02</v>
      </c>
      <c r="L406" s="23">
        <v>2.5</v>
      </c>
      <c r="M406" s="20">
        <v>29.625</v>
      </c>
      <c r="N406" s="23">
        <v>2.5</v>
      </c>
      <c r="O406" s="20">
        <v>29.625</v>
      </c>
      <c r="P406" s="20">
        <v>1244.27</v>
      </c>
    </row>
    <row r="407" spans="1:16" x14ac:dyDescent="0.35">
      <c r="A407">
        <v>406</v>
      </c>
      <c r="B407" t="s">
        <v>280</v>
      </c>
      <c r="C407" t="s">
        <v>292</v>
      </c>
      <c r="D407">
        <v>3</v>
      </c>
      <c r="E407" t="s">
        <v>134</v>
      </c>
      <c r="F407" s="2">
        <v>45951</v>
      </c>
      <c r="G407" s="3">
        <v>46508</v>
      </c>
      <c r="H407" s="20">
        <v>259.09090909090907</v>
      </c>
      <c r="I407" s="20">
        <v>374.06</v>
      </c>
      <c r="J407" s="20">
        <v>285</v>
      </c>
      <c r="K407" s="20">
        <f>P407-M407-O407</f>
        <v>829.33999999999992</v>
      </c>
      <c r="L407" s="23">
        <v>2.5</v>
      </c>
      <c r="M407" s="20">
        <v>20.734999999999999</v>
      </c>
      <c r="N407" s="23">
        <v>2.5</v>
      </c>
      <c r="O407" s="20">
        <v>20.734999999999999</v>
      </c>
      <c r="P407" s="20">
        <v>870.81</v>
      </c>
    </row>
    <row r="408" spans="1:16" x14ac:dyDescent="0.35">
      <c r="A408">
        <v>407</v>
      </c>
      <c r="B408" t="s">
        <v>736</v>
      </c>
      <c r="C408" t="s">
        <v>739</v>
      </c>
      <c r="D408">
        <v>3</v>
      </c>
      <c r="E408" t="s">
        <v>134</v>
      </c>
      <c r="F408" s="2">
        <v>45951</v>
      </c>
      <c r="G408" s="3">
        <v>46388</v>
      </c>
      <c r="H408" s="20">
        <v>501.08181818181816</v>
      </c>
      <c r="I408" s="20">
        <v>723.41</v>
      </c>
      <c r="J408" s="20">
        <v>551.19000000000005</v>
      </c>
      <c r="K408" s="20">
        <f>P408-M408-O408</f>
        <v>1603.9600000000003</v>
      </c>
      <c r="L408" s="23">
        <v>2.5</v>
      </c>
      <c r="M408" s="20">
        <v>40.1</v>
      </c>
      <c r="N408" s="23">
        <v>2.5</v>
      </c>
      <c r="O408" s="20">
        <v>40.1</v>
      </c>
      <c r="P408" s="20">
        <v>1684.16</v>
      </c>
    </row>
    <row r="409" spans="1:16" x14ac:dyDescent="0.35">
      <c r="A409">
        <v>408</v>
      </c>
      <c r="B409" t="s">
        <v>740</v>
      </c>
      <c r="C409" t="s">
        <v>746</v>
      </c>
      <c r="D409">
        <v>3</v>
      </c>
      <c r="E409" t="s">
        <v>131</v>
      </c>
      <c r="F409" s="2">
        <v>45951</v>
      </c>
      <c r="G409" s="3">
        <v>46905</v>
      </c>
      <c r="H409" s="20">
        <v>155.87272727272727</v>
      </c>
      <c r="I409" s="20">
        <v>225</v>
      </c>
      <c r="J409" s="20">
        <v>171.46</v>
      </c>
      <c r="K409" s="20">
        <v>504.09</v>
      </c>
      <c r="L409" s="23">
        <v>2.5</v>
      </c>
      <c r="M409" s="20">
        <v>12.6</v>
      </c>
      <c r="N409" s="23">
        <v>2.5</v>
      </c>
      <c r="O409" s="20">
        <v>12.6</v>
      </c>
      <c r="P409" s="20">
        <v>529.29</v>
      </c>
    </row>
    <row r="410" spans="1:16" x14ac:dyDescent="0.35">
      <c r="A410">
        <v>409</v>
      </c>
      <c r="B410" t="s">
        <v>741</v>
      </c>
      <c r="C410" t="s">
        <v>747</v>
      </c>
      <c r="D410">
        <v>2</v>
      </c>
      <c r="E410" t="s">
        <v>131</v>
      </c>
      <c r="F410" s="2">
        <v>45951</v>
      </c>
      <c r="G410" s="3">
        <v>46447</v>
      </c>
      <c r="H410" s="20">
        <v>80.590909090909093</v>
      </c>
      <c r="I410" s="20">
        <v>184.68</v>
      </c>
      <c r="J410" s="20">
        <v>88.65</v>
      </c>
      <c r="K410" s="20">
        <v>177.3</v>
      </c>
      <c r="L410" s="23">
        <v>2.5</v>
      </c>
      <c r="M410" s="20">
        <v>4.43</v>
      </c>
      <c r="N410" s="23">
        <v>2.5</v>
      </c>
      <c r="O410" s="20">
        <v>4.43</v>
      </c>
      <c r="P410" s="20">
        <v>186.16</v>
      </c>
    </row>
    <row r="411" spans="1:16" x14ac:dyDescent="0.35">
      <c r="A411">
        <v>410</v>
      </c>
      <c r="B411" t="s">
        <v>742</v>
      </c>
      <c r="C411" t="s">
        <v>748</v>
      </c>
      <c r="D411">
        <v>1</v>
      </c>
      <c r="E411" t="s">
        <v>131</v>
      </c>
      <c r="F411" s="2">
        <v>45951</v>
      </c>
      <c r="G411" s="3">
        <v>46539</v>
      </c>
      <c r="H411" s="20">
        <v>150.35454545454542</v>
      </c>
      <c r="I411" s="20">
        <v>217.08</v>
      </c>
      <c r="J411" s="20">
        <v>165.39</v>
      </c>
      <c r="K411" s="20">
        <v>160.43</v>
      </c>
      <c r="L411" s="23">
        <v>2.5</v>
      </c>
      <c r="M411" s="20">
        <v>4.01</v>
      </c>
      <c r="N411" s="23">
        <v>2.5</v>
      </c>
      <c r="O411" s="20">
        <v>4.01</v>
      </c>
      <c r="P411" s="20">
        <v>168.45</v>
      </c>
    </row>
    <row r="412" spans="1:16" x14ac:dyDescent="0.35">
      <c r="A412">
        <v>411</v>
      </c>
      <c r="B412" t="s">
        <v>743</v>
      </c>
      <c r="C412" t="s">
        <v>749</v>
      </c>
      <c r="D412">
        <v>3</v>
      </c>
      <c r="E412" t="s">
        <v>131</v>
      </c>
      <c r="F412" s="2">
        <v>45951</v>
      </c>
      <c r="G412" s="3">
        <v>46966</v>
      </c>
      <c r="H412" s="20">
        <v>48.454545454545446</v>
      </c>
      <c r="I412" s="20">
        <v>66.62</v>
      </c>
      <c r="J412" s="20">
        <v>53.3</v>
      </c>
      <c r="K412" s="20">
        <v>155.1</v>
      </c>
      <c r="L412" s="23">
        <v>2.5</v>
      </c>
      <c r="M412" s="20">
        <v>3.88</v>
      </c>
      <c r="N412" s="23">
        <v>2.5</v>
      </c>
      <c r="O412" s="20">
        <v>3.88</v>
      </c>
      <c r="P412" s="20">
        <v>162.86000000000001</v>
      </c>
    </row>
    <row r="413" spans="1:16" x14ac:dyDescent="0.35">
      <c r="A413">
        <v>412</v>
      </c>
      <c r="B413" t="s">
        <v>744</v>
      </c>
      <c r="C413" t="s">
        <v>258</v>
      </c>
      <c r="D413">
        <v>12</v>
      </c>
      <c r="E413" t="s">
        <v>131</v>
      </c>
      <c r="F413" s="2">
        <v>45951</v>
      </c>
      <c r="G413" s="3">
        <v>46508</v>
      </c>
      <c r="H413" s="20">
        <v>74.345454545454544</v>
      </c>
      <c r="I413" s="20">
        <v>107.34</v>
      </c>
      <c r="J413" s="20">
        <v>81.78</v>
      </c>
      <c r="K413" s="20">
        <v>793.27</v>
      </c>
      <c r="L413" s="23">
        <v>2.5</v>
      </c>
      <c r="M413" s="20">
        <v>19.829999999999998</v>
      </c>
      <c r="N413" s="23">
        <v>2.5</v>
      </c>
      <c r="O413" s="20">
        <v>19.829999999999998</v>
      </c>
      <c r="P413" s="20">
        <v>832.93</v>
      </c>
    </row>
    <row r="414" spans="1:16" x14ac:dyDescent="0.35">
      <c r="A414">
        <v>413</v>
      </c>
      <c r="B414" t="s">
        <v>745</v>
      </c>
      <c r="C414" t="s">
        <v>750</v>
      </c>
      <c r="D414">
        <v>1</v>
      </c>
      <c r="E414" t="s">
        <v>131</v>
      </c>
      <c r="F414" s="2">
        <v>45951</v>
      </c>
      <c r="G414" s="3">
        <v>46874</v>
      </c>
      <c r="H414" s="20">
        <v>206.49090909090907</v>
      </c>
      <c r="I414" s="20">
        <v>298.13</v>
      </c>
      <c r="J414" s="20">
        <v>227.14</v>
      </c>
      <c r="K414" s="20">
        <v>220.33</v>
      </c>
      <c r="L414" s="23">
        <v>2.5</v>
      </c>
      <c r="M414" s="20">
        <v>5.51</v>
      </c>
      <c r="N414" s="23">
        <v>2.5</v>
      </c>
      <c r="O414" s="20">
        <v>5.51</v>
      </c>
      <c r="P414" s="20">
        <v>231.35</v>
      </c>
    </row>
    <row r="415" spans="1:16" x14ac:dyDescent="0.35">
      <c r="A415">
        <v>414</v>
      </c>
      <c r="B415" t="s">
        <v>751</v>
      </c>
      <c r="C415" t="s">
        <v>761</v>
      </c>
      <c r="D415">
        <v>6</v>
      </c>
      <c r="E415" t="s">
        <v>131</v>
      </c>
      <c r="F415" s="2">
        <v>45952</v>
      </c>
      <c r="G415" s="3">
        <v>46357</v>
      </c>
      <c r="H415" s="20">
        <v>79.490909090909085</v>
      </c>
      <c r="I415" s="20">
        <v>114.78</v>
      </c>
      <c r="J415" s="20">
        <v>87.44</v>
      </c>
      <c r="K415" s="20">
        <v>169.63</v>
      </c>
      <c r="L415" s="23">
        <v>2.5</v>
      </c>
      <c r="M415" s="20">
        <v>4.24</v>
      </c>
      <c r="N415" s="23">
        <v>2.5</v>
      </c>
      <c r="O415" s="20">
        <v>4.24</v>
      </c>
      <c r="P415" s="20">
        <v>178.11</v>
      </c>
    </row>
    <row r="416" spans="1:16" x14ac:dyDescent="0.35">
      <c r="A416">
        <v>415</v>
      </c>
      <c r="B416" t="s">
        <v>752</v>
      </c>
      <c r="C416" t="s">
        <v>762</v>
      </c>
      <c r="D416">
        <v>5</v>
      </c>
      <c r="E416" t="s">
        <v>131</v>
      </c>
      <c r="F416" s="2">
        <v>45952</v>
      </c>
      <c r="G416" s="3">
        <v>46388</v>
      </c>
      <c r="H416" s="20">
        <v>23.5</v>
      </c>
      <c r="I416" s="20">
        <v>129.27000000000001</v>
      </c>
      <c r="J416" s="20">
        <v>25.85</v>
      </c>
      <c r="K416" s="20">
        <v>129.25</v>
      </c>
      <c r="L416" s="23">
        <v>2.5</v>
      </c>
      <c r="M416" s="20">
        <v>3.23</v>
      </c>
      <c r="N416" s="23">
        <v>2.5</v>
      </c>
      <c r="O416" s="20">
        <v>3.23</v>
      </c>
      <c r="P416" s="20">
        <v>135.71</v>
      </c>
    </row>
    <row r="417" spans="1:16" x14ac:dyDescent="0.35">
      <c r="A417">
        <v>416</v>
      </c>
      <c r="B417" t="s">
        <v>753</v>
      </c>
      <c r="C417" s="4">
        <v>3.5000000000000002E+59</v>
      </c>
      <c r="D417">
        <v>10</v>
      </c>
      <c r="E417" t="s">
        <v>131</v>
      </c>
      <c r="F417" s="2">
        <v>45952</v>
      </c>
      <c r="G417" s="3">
        <v>46478</v>
      </c>
      <c r="H417" s="20">
        <v>44.054545454545455</v>
      </c>
      <c r="I417" s="20">
        <v>63.6</v>
      </c>
      <c r="J417" s="20">
        <v>48.46</v>
      </c>
      <c r="K417" s="20">
        <v>423.06</v>
      </c>
      <c r="L417" s="23">
        <v>2.5</v>
      </c>
      <c r="M417" s="20">
        <v>10.58</v>
      </c>
      <c r="N417" s="23">
        <v>2.5</v>
      </c>
      <c r="O417" s="20">
        <v>10.58</v>
      </c>
      <c r="P417" s="20">
        <v>444.22</v>
      </c>
    </row>
    <row r="418" spans="1:16" x14ac:dyDescent="0.35">
      <c r="A418">
        <v>417</v>
      </c>
      <c r="B418" t="s">
        <v>754</v>
      </c>
      <c r="C418" t="s">
        <v>763</v>
      </c>
      <c r="D418">
        <v>1</v>
      </c>
      <c r="E418" t="s">
        <v>131</v>
      </c>
      <c r="F418" s="2">
        <v>45952</v>
      </c>
      <c r="G418" s="3">
        <v>46327</v>
      </c>
      <c r="H418" s="20">
        <v>89.836363636363629</v>
      </c>
      <c r="I418" s="20">
        <v>129.69999999999999</v>
      </c>
      <c r="J418" s="20">
        <v>98.82</v>
      </c>
      <c r="K418" s="20">
        <v>95.86</v>
      </c>
      <c r="L418" s="23">
        <v>2.5</v>
      </c>
      <c r="M418" s="20">
        <v>2.4</v>
      </c>
      <c r="N418" s="23">
        <v>2.5</v>
      </c>
      <c r="O418" s="20">
        <v>2.4</v>
      </c>
      <c r="P418" s="20">
        <v>100.66</v>
      </c>
    </row>
    <row r="419" spans="1:16" x14ac:dyDescent="0.35">
      <c r="A419">
        <v>418</v>
      </c>
      <c r="B419" t="s">
        <v>755</v>
      </c>
      <c r="C419" t="s">
        <v>764</v>
      </c>
      <c r="D419">
        <v>2</v>
      </c>
      <c r="E419" t="s">
        <v>131</v>
      </c>
      <c r="F419" s="2">
        <v>45952</v>
      </c>
      <c r="G419" s="3">
        <v>46569</v>
      </c>
      <c r="H419" s="20">
        <v>155.56363636363636</v>
      </c>
      <c r="I419" s="20">
        <v>224.6</v>
      </c>
      <c r="J419" s="20">
        <v>171.12</v>
      </c>
      <c r="K419" s="20">
        <v>331.97</v>
      </c>
      <c r="L419" s="23">
        <v>2.5</v>
      </c>
      <c r="M419" s="20">
        <v>8.3000000000000007</v>
      </c>
      <c r="N419" s="23">
        <v>2.5</v>
      </c>
      <c r="O419" s="20">
        <v>8.3000000000000007</v>
      </c>
      <c r="P419" s="20">
        <v>348.57</v>
      </c>
    </row>
    <row r="420" spans="1:16" x14ac:dyDescent="0.35">
      <c r="A420">
        <v>419</v>
      </c>
      <c r="B420" t="s">
        <v>756</v>
      </c>
      <c r="C420" t="s">
        <v>765</v>
      </c>
      <c r="D420">
        <v>5</v>
      </c>
      <c r="E420" t="s">
        <v>131</v>
      </c>
      <c r="F420" s="2">
        <v>45952</v>
      </c>
      <c r="G420" s="3">
        <v>46478</v>
      </c>
      <c r="H420" s="20">
        <v>80.745454545454535</v>
      </c>
      <c r="I420" s="20">
        <v>131</v>
      </c>
      <c r="J420" s="20">
        <v>88.82</v>
      </c>
      <c r="K420" s="20">
        <v>392.01</v>
      </c>
      <c r="L420" s="23">
        <v>9</v>
      </c>
      <c r="M420" s="20">
        <v>35.28</v>
      </c>
      <c r="N420" s="23">
        <v>9</v>
      </c>
      <c r="O420" s="20">
        <v>35.28</v>
      </c>
      <c r="P420" s="20">
        <v>462.57</v>
      </c>
    </row>
    <row r="421" spans="1:16" x14ac:dyDescent="0.35">
      <c r="A421">
        <v>420</v>
      </c>
      <c r="B421" t="s">
        <v>757</v>
      </c>
      <c r="C421" t="s">
        <v>766</v>
      </c>
      <c r="D421">
        <v>5</v>
      </c>
      <c r="E421" t="s">
        <v>131</v>
      </c>
      <c r="F421" s="2">
        <v>45952</v>
      </c>
      <c r="G421" s="3">
        <v>46357</v>
      </c>
      <c r="H421" s="20">
        <v>25.636363636363633</v>
      </c>
      <c r="I421" s="20">
        <v>103.13</v>
      </c>
      <c r="J421" s="20">
        <v>28.2</v>
      </c>
      <c r="K421" s="20">
        <v>141</v>
      </c>
      <c r="L421" s="23">
        <v>2.5</v>
      </c>
      <c r="M421" s="20">
        <v>3.58</v>
      </c>
      <c r="N421" s="23">
        <v>2.5</v>
      </c>
      <c r="O421" s="20">
        <v>3.58</v>
      </c>
      <c r="P421" s="20">
        <v>148.06</v>
      </c>
    </row>
    <row r="422" spans="1:16" x14ac:dyDescent="0.35">
      <c r="A422">
        <v>421</v>
      </c>
      <c r="B422" t="s">
        <v>758</v>
      </c>
      <c r="C422" t="s">
        <v>767</v>
      </c>
      <c r="D422">
        <v>2</v>
      </c>
      <c r="E422" t="s">
        <v>131</v>
      </c>
      <c r="F422" s="2">
        <v>45952</v>
      </c>
      <c r="G422" s="3">
        <v>46905</v>
      </c>
      <c r="H422" s="20">
        <v>122.64545454545453</v>
      </c>
      <c r="I422" s="20">
        <v>199</v>
      </c>
      <c r="J422" s="20">
        <v>134.91</v>
      </c>
      <c r="K422" s="20">
        <v>261.75</v>
      </c>
      <c r="L422" s="23">
        <v>9</v>
      </c>
      <c r="M422" s="20">
        <v>23.56</v>
      </c>
      <c r="N422" s="23">
        <v>9</v>
      </c>
      <c r="O422" s="20">
        <v>23.56</v>
      </c>
      <c r="P422" s="20">
        <v>308.85000000000002</v>
      </c>
    </row>
    <row r="423" spans="1:16" x14ac:dyDescent="0.35">
      <c r="A423">
        <v>422</v>
      </c>
      <c r="B423" t="s">
        <v>759</v>
      </c>
      <c r="C423" t="s">
        <v>768</v>
      </c>
      <c r="D423">
        <v>1</v>
      </c>
      <c r="E423" t="s">
        <v>131</v>
      </c>
      <c r="F423" s="2">
        <v>45952</v>
      </c>
      <c r="G423" s="3">
        <v>46296</v>
      </c>
      <c r="H423" s="20">
        <v>270.12727272727267</v>
      </c>
      <c r="I423" s="20">
        <v>390</v>
      </c>
      <c r="J423" s="20">
        <v>297.14</v>
      </c>
      <c r="K423" s="20">
        <v>288.23</v>
      </c>
      <c r="L423" s="23">
        <v>2.5</v>
      </c>
      <c r="M423" s="20">
        <v>7.21</v>
      </c>
      <c r="N423" s="23">
        <v>2.5</v>
      </c>
      <c r="O423" s="20">
        <v>7.21</v>
      </c>
      <c r="P423" s="20">
        <v>302.64999999999998</v>
      </c>
    </row>
    <row r="424" spans="1:16" x14ac:dyDescent="0.35">
      <c r="A424">
        <v>423</v>
      </c>
      <c r="B424" t="s">
        <v>759</v>
      </c>
      <c r="C424" t="s">
        <v>769</v>
      </c>
      <c r="D424">
        <v>1</v>
      </c>
      <c r="E424" t="s">
        <v>131</v>
      </c>
      <c r="F424" s="2">
        <v>45952</v>
      </c>
      <c r="G424" s="3">
        <v>46296</v>
      </c>
      <c r="H424" s="20">
        <v>270.12727272727267</v>
      </c>
      <c r="I424" s="20">
        <v>390</v>
      </c>
      <c r="J424" s="20">
        <v>297.14</v>
      </c>
      <c r="K424" s="20">
        <v>288.23</v>
      </c>
      <c r="L424" s="23">
        <v>2.5</v>
      </c>
      <c r="M424" s="20">
        <v>7.21</v>
      </c>
      <c r="N424" s="23">
        <v>2.5</v>
      </c>
      <c r="O424" s="20">
        <v>7.21</v>
      </c>
      <c r="P424" s="20">
        <v>302.64999999999998</v>
      </c>
    </row>
    <row r="425" spans="1:16" x14ac:dyDescent="0.35">
      <c r="A425">
        <v>424</v>
      </c>
      <c r="B425" t="s">
        <v>760</v>
      </c>
      <c r="C425" t="s">
        <v>770</v>
      </c>
      <c r="D425">
        <v>1</v>
      </c>
      <c r="E425" t="s">
        <v>131</v>
      </c>
      <c r="F425" s="2">
        <v>45952</v>
      </c>
      <c r="G425" s="3">
        <v>46508</v>
      </c>
      <c r="H425" s="20">
        <v>148.48181818181817</v>
      </c>
      <c r="I425" s="20">
        <v>206</v>
      </c>
      <c r="J425" s="20">
        <v>163.33000000000001</v>
      </c>
      <c r="K425" s="20">
        <v>163.33000000000001</v>
      </c>
      <c r="L425" s="23">
        <v>2.5</v>
      </c>
      <c r="M425" s="20">
        <v>4.08</v>
      </c>
      <c r="N425" s="23">
        <v>2.5</v>
      </c>
      <c r="O425" s="20">
        <v>4.08</v>
      </c>
      <c r="P425" s="20">
        <v>171.49</v>
      </c>
    </row>
    <row r="426" spans="1:16" x14ac:dyDescent="0.35">
      <c r="A426">
        <v>425</v>
      </c>
      <c r="B426" t="s">
        <v>771</v>
      </c>
      <c r="C426" t="s">
        <v>784</v>
      </c>
      <c r="D426">
        <v>2</v>
      </c>
      <c r="E426" t="s">
        <v>37</v>
      </c>
      <c r="F426" s="2">
        <v>45952</v>
      </c>
      <c r="G426" s="3">
        <v>46874</v>
      </c>
      <c r="H426" s="20">
        <v>412.32727272727271</v>
      </c>
      <c r="I426" s="20">
        <v>669</v>
      </c>
      <c r="J426" s="20">
        <v>453.56</v>
      </c>
      <c r="K426" s="20">
        <v>879.91</v>
      </c>
      <c r="L426" s="23">
        <v>9</v>
      </c>
      <c r="M426" s="20">
        <v>79.19</v>
      </c>
      <c r="N426" s="23">
        <v>9</v>
      </c>
      <c r="O426" s="20">
        <v>79.19</v>
      </c>
      <c r="P426" s="20">
        <v>1038.29</v>
      </c>
    </row>
    <row r="427" spans="1:16" x14ac:dyDescent="0.35">
      <c r="A427">
        <v>426</v>
      </c>
      <c r="B427" t="s">
        <v>772</v>
      </c>
      <c r="C427" t="s">
        <v>785</v>
      </c>
      <c r="D427">
        <v>1</v>
      </c>
      <c r="E427" t="s">
        <v>37</v>
      </c>
      <c r="F427" s="2">
        <v>45952</v>
      </c>
      <c r="G427" s="3">
        <v>46447</v>
      </c>
      <c r="H427" s="20">
        <v>161.69090909090909</v>
      </c>
      <c r="I427" s="20">
        <v>233.44</v>
      </c>
      <c r="J427" s="20">
        <v>177.86</v>
      </c>
      <c r="K427" s="20">
        <v>172.52</v>
      </c>
      <c r="L427" s="23">
        <v>2.5</v>
      </c>
      <c r="M427" s="20">
        <v>4.3099999999999996</v>
      </c>
      <c r="N427" s="23">
        <v>2.5</v>
      </c>
      <c r="O427" s="20">
        <v>4.3099999999999996</v>
      </c>
      <c r="P427" s="20">
        <v>181.12</v>
      </c>
    </row>
    <row r="428" spans="1:16" x14ac:dyDescent="0.35">
      <c r="A428">
        <v>427</v>
      </c>
      <c r="B428" t="s">
        <v>773</v>
      </c>
      <c r="C428" t="s">
        <v>786</v>
      </c>
      <c r="D428">
        <v>1</v>
      </c>
      <c r="E428" t="s">
        <v>37</v>
      </c>
      <c r="F428" s="2">
        <v>45952</v>
      </c>
      <c r="G428" s="3">
        <v>46266</v>
      </c>
      <c r="H428" s="20">
        <v>600.92727272727268</v>
      </c>
      <c r="I428" s="20">
        <v>975</v>
      </c>
      <c r="J428" s="20">
        <v>661.02</v>
      </c>
      <c r="K428" s="20">
        <v>641.19000000000005</v>
      </c>
      <c r="L428" s="23">
        <v>9</v>
      </c>
      <c r="M428" s="20">
        <v>57.71</v>
      </c>
      <c r="N428" s="23">
        <v>9</v>
      </c>
      <c r="O428" s="20">
        <v>57.71</v>
      </c>
      <c r="P428" s="20">
        <v>756.61</v>
      </c>
    </row>
    <row r="429" spans="1:16" x14ac:dyDescent="0.35">
      <c r="A429">
        <v>428</v>
      </c>
      <c r="B429" t="s">
        <v>774</v>
      </c>
      <c r="C429" t="s">
        <v>787</v>
      </c>
      <c r="D429">
        <v>1</v>
      </c>
      <c r="E429" t="s">
        <v>95</v>
      </c>
      <c r="F429" s="2">
        <v>45952</v>
      </c>
      <c r="G429" s="3">
        <v>46388</v>
      </c>
      <c r="H429" s="20">
        <v>600.92727272727268</v>
      </c>
      <c r="I429" s="20">
        <v>975</v>
      </c>
      <c r="J429" s="20">
        <v>661.02</v>
      </c>
      <c r="K429" s="20">
        <v>641.19000000000005</v>
      </c>
      <c r="L429" s="23">
        <v>9</v>
      </c>
      <c r="M429" s="20">
        <v>57.71</v>
      </c>
      <c r="N429" s="23">
        <v>9</v>
      </c>
      <c r="O429" s="20">
        <v>57.71</v>
      </c>
      <c r="P429" s="20">
        <v>756.61</v>
      </c>
    </row>
    <row r="430" spans="1:16" x14ac:dyDescent="0.35">
      <c r="A430">
        <v>429</v>
      </c>
      <c r="B430" t="s">
        <v>775</v>
      </c>
      <c r="C430" t="s">
        <v>788</v>
      </c>
      <c r="D430">
        <v>1</v>
      </c>
      <c r="E430" t="s">
        <v>37</v>
      </c>
      <c r="F430" s="2">
        <v>45952</v>
      </c>
      <c r="G430" s="3">
        <v>46844</v>
      </c>
      <c r="H430" s="20">
        <v>105.97272727272725</v>
      </c>
      <c r="I430" s="20">
        <v>153</v>
      </c>
      <c r="J430" s="20">
        <v>116.57</v>
      </c>
      <c r="K430" s="20">
        <v>113.07</v>
      </c>
      <c r="L430" s="23">
        <v>2.5</v>
      </c>
      <c r="M430" s="20">
        <v>2.83</v>
      </c>
      <c r="N430" s="23">
        <v>2.5</v>
      </c>
      <c r="O430" s="20">
        <v>2.83</v>
      </c>
      <c r="P430" s="20">
        <v>118.73</v>
      </c>
    </row>
    <row r="431" spans="1:16" x14ac:dyDescent="0.35">
      <c r="A431">
        <v>430</v>
      </c>
      <c r="B431" t="s">
        <v>776</v>
      </c>
      <c r="C431" t="s">
        <v>789</v>
      </c>
      <c r="D431">
        <v>2</v>
      </c>
      <c r="E431" t="s">
        <v>37</v>
      </c>
      <c r="F431" s="2">
        <v>45952</v>
      </c>
      <c r="G431" s="3">
        <v>46235</v>
      </c>
      <c r="H431" s="20">
        <v>447.46363636363628</v>
      </c>
      <c r="I431" s="20">
        <v>726</v>
      </c>
      <c r="J431" s="20">
        <v>492.21</v>
      </c>
      <c r="K431" s="20">
        <v>954.89</v>
      </c>
      <c r="L431" s="23">
        <v>9</v>
      </c>
      <c r="M431" s="20">
        <v>85.94</v>
      </c>
      <c r="N431" s="23">
        <v>9</v>
      </c>
      <c r="O431" s="20">
        <v>85.94</v>
      </c>
      <c r="P431" s="20">
        <v>1126.77</v>
      </c>
    </row>
    <row r="432" spans="1:16" x14ac:dyDescent="0.35">
      <c r="A432">
        <v>431</v>
      </c>
      <c r="B432" t="s">
        <v>777</v>
      </c>
      <c r="C432" t="s">
        <v>790</v>
      </c>
      <c r="D432">
        <v>3</v>
      </c>
      <c r="E432" t="s">
        <v>37</v>
      </c>
      <c r="F432" s="2">
        <v>45953</v>
      </c>
      <c r="G432" s="3">
        <v>46661</v>
      </c>
      <c r="H432" s="20">
        <v>40.709090909090904</v>
      </c>
      <c r="I432" s="20">
        <v>58.77</v>
      </c>
      <c r="J432" s="20">
        <v>44.78</v>
      </c>
      <c r="K432" s="20">
        <v>130.31</v>
      </c>
      <c r="L432" s="23">
        <v>2.5</v>
      </c>
      <c r="M432" s="20">
        <v>3.26</v>
      </c>
      <c r="N432" s="23">
        <v>2.5</v>
      </c>
      <c r="O432" s="20">
        <v>3.26</v>
      </c>
      <c r="P432" s="20">
        <v>136.83000000000001</v>
      </c>
    </row>
    <row r="433" spans="1:16" x14ac:dyDescent="0.35">
      <c r="A433">
        <v>432</v>
      </c>
      <c r="B433" t="s">
        <v>778</v>
      </c>
      <c r="C433" t="s">
        <v>791</v>
      </c>
      <c r="D433">
        <v>1</v>
      </c>
      <c r="E433" t="s">
        <v>37</v>
      </c>
      <c r="F433" s="2">
        <v>45953</v>
      </c>
      <c r="G433" s="3">
        <v>46539</v>
      </c>
      <c r="H433" s="20">
        <v>246.42727272727271</v>
      </c>
      <c r="I433" s="20">
        <v>355.78</v>
      </c>
      <c r="J433" s="20">
        <v>271.07</v>
      </c>
      <c r="K433" s="20">
        <v>262.94</v>
      </c>
      <c r="L433" s="23">
        <v>2.5</v>
      </c>
      <c r="M433" s="20">
        <v>6.57</v>
      </c>
      <c r="N433" s="23">
        <v>2.5</v>
      </c>
      <c r="O433" s="20">
        <v>6.57</v>
      </c>
      <c r="P433" s="20">
        <v>276.08</v>
      </c>
    </row>
    <row r="434" spans="1:16" x14ac:dyDescent="0.35">
      <c r="A434">
        <v>433</v>
      </c>
      <c r="B434" t="s">
        <v>779</v>
      </c>
      <c r="C434" t="s">
        <v>792</v>
      </c>
      <c r="D434">
        <v>5</v>
      </c>
      <c r="E434" t="s">
        <v>37</v>
      </c>
      <c r="F434" s="2">
        <v>45953</v>
      </c>
      <c r="G434" s="3">
        <v>46447</v>
      </c>
      <c r="H434" s="20">
        <v>156.49090909090907</v>
      </c>
      <c r="I434" s="20">
        <v>225.94</v>
      </c>
      <c r="J434" s="20">
        <v>172.14</v>
      </c>
      <c r="K434" s="20">
        <v>834.88</v>
      </c>
      <c r="L434" s="23">
        <v>2.5</v>
      </c>
      <c r="M434" s="20">
        <v>20.87</v>
      </c>
      <c r="N434" s="23">
        <v>2.5</v>
      </c>
      <c r="O434" s="20">
        <v>20.87</v>
      </c>
      <c r="P434" s="20">
        <v>876.62</v>
      </c>
    </row>
    <row r="435" spans="1:16" x14ac:dyDescent="0.35">
      <c r="A435">
        <v>434</v>
      </c>
      <c r="B435" t="s">
        <v>780</v>
      </c>
      <c r="C435" t="s">
        <v>793</v>
      </c>
      <c r="D435">
        <v>1</v>
      </c>
      <c r="E435" t="s">
        <v>37</v>
      </c>
      <c r="F435" s="2">
        <v>45953</v>
      </c>
      <c r="G435" s="3">
        <v>46569</v>
      </c>
      <c r="H435" s="20">
        <v>388.92727272727268</v>
      </c>
      <c r="I435" s="20">
        <v>561.51</v>
      </c>
      <c r="J435" s="20">
        <v>427.82</v>
      </c>
      <c r="K435" s="20">
        <v>414.99</v>
      </c>
      <c r="L435" s="23">
        <v>2.5</v>
      </c>
      <c r="M435" s="20">
        <v>10.37</v>
      </c>
      <c r="N435" s="23">
        <v>2.5</v>
      </c>
      <c r="O435" s="20">
        <v>10.37</v>
      </c>
      <c r="P435" s="20">
        <v>435.73</v>
      </c>
    </row>
    <row r="436" spans="1:16" x14ac:dyDescent="0.35">
      <c r="A436">
        <v>435</v>
      </c>
      <c r="B436" t="s">
        <v>781</v>
      </c>
      <c r="C436" t="s">
        <v>794</v>
      </c>
      <c r="D436">
        <v>10</v>
      </c>
      <c r="E436" t="s">
        <v>37</v>
      </c>
      <c r="F436" s="2">
        <v>45953</v>
      </c>
      <c r="G436" s="3">
        <v>46478</v>
      </c>
      <c r="H436" s="20">
        <v>33.327272727272721</v>
      </c>
      <c r="I436" s="20">
        <v>48.11</v>
      </c>
      <c r="J436" s="20">
        <v>36.659999999999997</v>
      </c>
      <c r="K436" s="20">
        <v>355.6</v>
      </c>
      <c r="L436" s="23">
        <v>2.5</v>
      </c>
      <c r="M436" s="20">
        <v>8.89</v>
      </c>
      <c r="N436" s="23">
        <v>2.5</v>
      </c>
      <c r="O436" s="20">
        <v>8.89</v>
      </c>
      <c r="P436" s="20">
        <v>373.38</v>
      </c>
    </row>
    <row r="437" spans="1:16" x14ac:dyDescent="0.35">
      <c r="A437">
        <v>436</v>
      </c>
      <c r="B437" t="s">
        <v>782</v>
      </c>
      <c r="C437" t="s">
        <v>795</v>
      </c>
      <c r="D437">
        <v>2</v>
      </c>
      <c r="E437" t="s">
        <v>37</v>
      </c>
      <c r="F437" s="2">
        <v>45953</v>
      </c>
      <c r="G437" s="3">
        <v>46508</v>
      </c>
      <c r="H437" s="20">
        <v>111.89090909090908</v>
      </c>
      <c r="I437" s="20">
        <v>161.54</v>
      </c>
      <c r="J437" s="20">
        <v>123.08</v>
      </c>
      <c r="K437" s="20">
        <v>238.78</v>
      </c>
      <c r="L437" s="23">
        <v>2.5</v>
      </c>
      <c r="M437" s="20">
        <v>5.97</v>
      </c>
      <c r="N437" s="23">
        <v>2.5</v>
      </c>
      <c r="O437" s="20">
        <v>5.97</v>
      </c>
      <c r="P437" s="20">
        <v>250.72</v>
      </c>
    </row>
    <row r="438" spans="1:16" x14ac:dyDescent="0.35">
      <c r="A438">
        <v>437</v>
      </c>
      <c r="B438" t="s">
        <v>783</v>
      </c>
      <c r="C438" t="s">
        <v>796</v>
      </c>
      <c r="D438">
        <v>5</v>
      </c>
      <c r="E438" t="s">
        <v>37</v>
      </c>
      <c r="F438" s="2">
        <v>45953</v>
      </c>
      <c r="G438" s="3">
        <v>46296</v>
      </c>
      <c r="H438" s="20">
        <v>123.36363636363635</v>
      </c>
      <c r="I438" s="20">
        <v>178.1</v>
      </c>
      <c r="J438" s="20">
        <v>135.69999999999999</v>
      </c>
      <c r="K438" s="20">
        <v>658.15</v>
      </c>
      <c r="L438" s="23">
        <v>2.5</v>
      </c>
      <c r="M438" s="20">
        <v>16.45</v>
      </c>
      <c r="N438" s="23">
        <v>2.5</v>
      </c>
      <c r="O438" s="20">
        <v>16.45</v>
      </c>
      <c r="P438" s="20">
        <v>691.05</v>
      </c>
    </row>
    <row r="439" spans="1:16" x14ac:dyDescent="0.35">
      <c r="A439">
        <v>438</v>
      </c>
      <c r="B439" t="s">
        <v>797</v>
      </c>
      <c r="C439" t="s">
        <v>800</v>
      </c>
      <c r="D439">
        <v>3</v>
      </c>
      <c r="E439" t="s">
        <v>37</v>
      </c>
      <c r="F439" s="2">
        <v>45953</v>
      </c>
      <c r="G439" s="3">
        <v>46569</v>
      </c>
      <c r="H439" s="20">
        <v>187.49999999999997</v>
      </c>
      <c r="I439" s="20">
        <v>270.7</v>
      </c>
      <c r="J439" s="20">
        <v>206.25</v>
      </c>
      <c r="K439" s="20">
        <v>600.19000000000005</v>
      </c>
      <c r="L439" s="23">
        <v>2.5</v>
      </c>
      <c r="M439" s="20">
        <v>15</v>
      </c>
      <c r="N439" s="23">
        <v>2.5</v>
      </c>
      <c r="O439" s="20">
        <v>15</v>
      </c>
      <c r="P439" s="20">
        <v>630.19000000000005</v>
      </c>
    </row>
    <row r="440" spans="1:16" x14ac:dyDescent="0.35">
      <c r="A440">
        <v>439</v>
      </c>
      <c r="B440" t="s">
        <v>798</v>
      </c>
      <c r="C440" t="s">
        <v>801</v>
      </c>
      <c r="D440">
        <v>2</v>
      </c>
      <c r="E440" t="s">
        <v>37</v>
      </c>
      <c r="F440" s="2">
        <v>45953</v>
      </c>
      <c r="G440" s="3">
        <v>47635</v>
      </c>
      <c r="H440" s="20">
        <v>36.709090909090911</v>
      </c>
      <c r="I440" s="20">
        <v>53</v>
      </c>
      <c r="J440" s="20">
        <v>40.380000000000003</v>
      </c>
      <c r="K440" s="20">
        <v>78.34</v>
      </c>
      <c r="L440" s="23">
        <v>2.5</v>
      </c>
      <c r="M440" s="20">
        <v>1.96</v>
      </c>
      <c r="N440" s="23">
        <v>2.5</v>
      </c>
      <c r="O440" s="20">
        <v>1.96</v>
      </c>
      <c r="P440" s="20">
        <v>82.26</v>
      </c>
    </row>
    <row r="441" spans="1:16" x14ac:dyDescent="0.35">
      <c r="A441">
        <v>440</v>
      </c>
      <c r="B441" t="s">
        <v>799</v>
      </c>
      <c r="C441" t="s">
        <v>802</v>
      </c>
      <c r="D441">
        <v>25</v>
      </c>
      <c r="E441" t="s">
        <v>37</v>
      </c>
      <c r="F441" s="2">
        <v>45953</v>
      </c>
      <c r="G441" s="3">
        <v>46174</v>
      </c>
      <c r="H441" s="20">
        <v>27.218181818181819</v>
      </c>
      <c r="I441" s="20">
        <v>39.299999999999997</v>
      </c>
      <c r="J441" s="20">
        <v>29.94</v>
      </c>
      <c r="K441" s="20">
        <v>748.5</v>
      </c>
      <c r="L441" s="23">
        <v>2.5</v>
      </c>
      <c r="M441" s="20">
        <v>18.71</v>
      </c>
      <c r="N441" s="23">
        <v>2.5</v>
      </c>
      <c r="O441" s="20">
        <v>18.71</v>
      </c>
      <c r="P441" s="20">
        <v>785.92</v>
      </c>
    </row>
    <row r="442" spans="1:16" x14ac:dyDescent="0.35">
      <c r="A442">
        <v>441</v>
      </c>
      <c r="B442" t="s">
        <v>803</v>
      </c>
      <c r="C442" t="s">
        <v>806</v>
      </c>
      <c r="D442">
        <v>3</v>
      </c>
      <c r="E442" t="s">
        <v>134</v>
      </c>
      <c r="F442" s="2">
        <v>45953</v>
      </c>
      <c r="G442" s="3">
        <v>46419</v>
      </c>
      <c r="H442" s="20">
        <v>334.41818181818178</v>
      </c>
      <c r="I442" s="20">
        <v>482.81</v>
      </c>
      <c r="J442" s="20">
        <v>367.86</v>
      </c>
      <c r="K442" s="20">
        <f t="shared" ref="K442:K447" si="3">P442-M442-O442</f>
        <v>1070.47</v>
      </c>
      <c r="L442" s="23">
        <v>2.5</v>
      </c>
      <c r="M442" s="20">
        <v>26.76</v>
      </c>
      <c r="N442" s="23">
        <v>2.5</v>
      </c>
      <c r="O442" s="20">
        <v>26.76</v>
      </c>
      <c r="P442" s="20">
        <v>1123.99</v>
      </c>
    </row>
    <row r="443" spans="1:16" x14ac:dyDescent="0.35">
      <c r="A443">
        <v>442</v>
      </c>
      <c r="B443" t="s">
        <v>804</v>
      </c>
      <c r="C443" t="s">
        <v>807</v>
      </c>
      <c r="D443">
        <v>3</v>
      </c>
      <c r="E443" t="s">
        <v>134</v>
      </c>
      <c r="F443" s="2">
        <v>45953</v>
      </c>
      <c r="G443" s="3">
        <v>46753</v>
      </c>
      <c r="H443" s="20">
        <v>19.963636363636361</v>
      </c>
      <c r="I443" s="20">
        <v>28.82</v>
      </c>
      <c r="J443" s="20">
        <v>21.96</v>
      </c>
      <c r="K443" s="20">
        <f t="shared" si="3"/>
        <v>63.919999999999987</v>
      </c>
      <c r="L443" s="23">
        <v>2.5</v>
      </c>
      <c r="M443" s="20">
        <v>1.59</v>
      </c>
      <c r="N443" s="23">
        <v>2.5</v>
      </c>
      <c r="O443" s="20">
        <v>1.59</v>
      </c>
      <c r="P443" s="20">
        <v>67.099999999999994</v>
      </c>
    </row>
    <row r="444" spans="1:16" x14ac:dyDescent="0.35">
      <c r="A444">
        <v>443</v>
      </c>
      <c r="B444" t="s">
        <v>805</v>
      </c>
      <c r="C444" t="s">
        <v>808</v>
      </c>
      <c r="D444">
        <v>1</v>
      </c>
      <c r="E444" t="s">
        <v>134</v>
      </c>
      <c r="F444" s="2">
        <v>45953</v>
      </c>
      <c r="G444" s="3">
        <v>46357</v>
      </c>
      <c r="H444" s="20">
        <v>575.65454545454543</v>
      </c>
      <c r="I444" s="20">
        <v>934</v>
      </c>
      <c r="J444" s="20">
        <v>633.22</v>
      </c>
      <c r="K444" s="20">
        <f t="shared" si="3"/>
        <v>614.22</v>
      </c>
      <c r="L444" s="23">
        <v>9</v>
      </c>
      <c r="M444" s="20">
        <v>55.28</v>
      </c>
      <c r="N444" s="23">
        <v>9</v>
      </c>
      <c r="O444" s="20">
        <v>55.28</v>
      </c>
      <c r="P444" s="20">
        <v>724.78</v>
      </c>
    </row>
    <row r="445" spans="1:16" x14ac:dyDescent="0.35">
      <c r="A445">
        <v>444</v>
      </c>
      <c r="B445" t="s">
        <v>219</v>
      </c>
      <c r="C445" t="s">
        <v>220</v>
      </c>
      <c r="D445">
        <v>6</v>
      </c>
      <c r="E445" t="s">
        <v>134</v>
      </c>
      <c r="F445" s="2">
        <v>45953</v>
      </c>
      <c r="G445" s="3">
        <v>46508</v>
      </c>
      <c r="H445" s="20">
        <v>120.12727272727271</v>
      </c>
      <c r="I445" s="20">
        <v>173.44</v>
      </c>
      <c r="J445" s="20">
        <v>132.13999999999999</v>
      </c>
      <c r="K445" s="20">
        <f t="shared" si="3"/>
        <v>769.06999999999994</v>
      </c>
      <c r="L445" s="23">
        <v>2.5</v>
      </c>
      <c r="M445" s="20">
        <v>19.22</v>
      </c>
      <c r="N445" s="23">
        <v>2.5</v>
      </c>
      <c r="O445" s="20">
        <v>19.22</v>
      </c>
      <c r="P445" s="20">
        <v>807.51</v>
      </c>
    </row>
    <row r="446" spans="1:16" x14ac:dyDescent="0.35">
      <c r="A446">
        <v>445</v>
      </c>
      <c r="B446" t="s">
        <v>809</v>
      </c>
      <c r="C446" s="4">
        <v>5642</v>
      </c>
      <c r="D446">
        <v>1</v>
      </c>
      <c r="E446" t="s">
        <v>134</v>
      </c>
      <c r="F446" s="2">
        <v>45953</v>
      </c>
      <c r="G446" s="3">
        <v>46569</v>
      </c>
      <c r="H446" s="20">
        <v>198.09090909090909</v>
      </c>
      <c r="I446" s="20">
        <v>286</v>
      </c>
      <c r="J446" s="20">
        <v>217.9</v>
      </c>
      <c r="K446" s="20">
        <f t="shared" si="3"/>
        <v>211.35</v>
      </c>
      <c r="L446" s="23">
        <v>2.5</v>
      </c>
      <c r="M446" s="20">
        <v>5.2850000000000001</v>
      </c>
      <c r="N446" s="23">
        <v>2.5</v>
      </c>
      <c r="O446" s="20">
        <v>5.2850000000000001</v>
      </c>
      <c r="P446" s="20">
        <v>221.92</v>
      </c>
    </row>
    <row r="447" spans="1:16" x14ac:dyDescent="0.35">
      <c r="A447">
        <v>446</v>
      </c>
      <c r="B447" t="s">
        <v>810</v>
      </c>
      <c r="C447" t="s">
        <v>811</v>
      </c>
      <c r="D447">
        <v>1</v>
      </c>
      <c r="E447" t="s">
        <v>134</v>
      </c>
      <c r="F447" s="2">
        <v>45953</v>
      </c>
      <c r="G447" s="3">
        <v>46874</v>
      </c>
      <c r="H447" s="20">
        <v>1040.0636363636363</v>
      </c>
      <c r="I447" s="20">
        <v>1620</v>
      </c>
      <c r="J447" s="20">
        <v>1144.07</v>
      </c>
      <c r="K447" s="20">
        <f t="shared" si="3"/>
        <v>1144.0800000000002</v>
      </c>
      <c r="L447" s="23">
        <v>9</v>
      </c>
      <c r="M447" s="20">
        <v>102.965</v>
      </c>
      <c r="N447" s="23">
        <v>9</v>
      </c>
      <c r="O447" s="20">
        <v>102.965</v>
      </c>
      <c r="P447" s="20">
        <v>1350.01</v>
      </c>
    </row>
    <row r="448" spans="1:16" x14ac:dyDescent="0.35">
      <c r="A448">
        <v>447</v>
      </c>
      <c r="B448" t="s">
        <v>812</v>
      </c>
      <c r="C448" t="s">
        <v>820</v>
      </c>
      <c r="D448">
        <v>2</v>
      </c>
      <c r="E448" t="s">
        <v>602</v>
      </c>
      <c r="F448" s="2">
        <v>45954</v>
      </c>
      <c r="G448" s="3">
        <v>46935</v>
      </c>
      <c r="H448" s="20">
        <v>35.709090909090911</v>
      </c>
      <c r="I448" s="20">
        <v>51.55</v>
      </c>
      <c r="J448" s="20">
        <v>39.28</v>
      </c>
      <c r="K448" s="20">
        <f t="shared" ref="K448:K473" si="4">J448*D448</f>
        <v>78.56</v>
      </c>
      <c r="L448" s="23">
        <v>2.5</v>
      </c>
      <c r="M448" s="20">
        <v>1.96</v>
      </c>
      <c r="N448" s="23">
        <v>2.5</v>
      </c>
      <c r="O448" s="20">
        <v>1.96</v>
      </c>
      <c r="P448" s="20">
        <v>79.98</v>
      </c>
    </row>
    <row r="449" spans="1:16" x14ac:dyDescent="0.35">
      <c r="A449">
        <v>448</v>
      </c>
      <c r="B449" t="s">
        <v>813</v>
      </c>
      <c r="C449" t="s">
        <v>821</v>
      </c>
      <c r="D449">
        <v>1</v>
      </c>
      <c r="E449" t="s">
        <v>602</v>
      </c>
      <c r="F449" s="2">
        <v>45954</v>
      </c>
      <c r="G449" s="3">
        <v>46600</v>
      </c>
      <c r="H449" s="20">
        <v>245.45454545454544</v>
      </c>
      <c r="I449" s="20">
        <v>354.38</v>
      </c>
      <c r="J449" s="20">
        <v>270</v>
      </c>
      <c r="K449" s="20">
        <f t="shared" si="4"/>
        <v>270</v>
      </c>
      <c r="L449" s="23">
        <v>2.5</v>
      </c>
      <c r="M449" s="20">
        <v>6.75</v>
      </c>
      <c r="N449" s="23">
        <v>2.5</v>
      </c>
      <c r="O449" s="20">
        <v>6.75</v>
      </c>
      <c r="P449" s="20">
        <v>275</v>
      </c>
    </row>
    <row r="450" spans="1:16" x14ac:dyDescent="0.35">
      <c r="A450">
        <v>449</v>
      </c>
      <c r="B450" t="s">
        <v>814</v>
      </c>
      <c r="C450" t="s">
        <v>822</v>
      </c>
      <c r="D450">
        <v>3</v>
      </c>
      <c r="E450" t="s">
        <v>602</v>
      </c>
      <c r="F450" s="2">
        <v>45954</v>
      </c>
      <c r="G450" s="3">
        <v>46327</v>
      </c>
      <c r="H450" s="20">
        <v>75.972727272727255</v>
      </c>
      <c r="I450" s="20">
        <v>109.68</v>
      </c>
      <c r="J450" s="20">
        <v>83.57</v>
      </c>
      <c r="K450" s="20">
        <f t="shared" si="4"/>
        <v>250.70999999999998</v>
      </c>
      <c r="L450" s="23">
        <v>2.5</v>
      </c>
      <c r="M450" s="20">
        <v>6.27</v>
      </c>
      <c r="N450" s="23">
        <v>2.5</v>
      </c>
      <c r="O450" s="20">
        <v>6.27</v>
      </c>
      <c r="P450" s="20">
        <v>212.79</v>
      </c>
    </row>
    <row r="451" spans="1:16" x14ac:dyDescent="0.35">
      <c r="A451">
        <v>450</v>
      </c>
      <c r="B451" t="s">
        <v>815</v>
      </c>
      <c r="C451" t="s">
        <v>69</v>
      </c>
      <c r="D451">
        <v>2</v>
      </c>
      <c r="E451" t="s">
        <v>602</v>
      </c>
      <c r="F451" s="2">
        <v>45954</v>
      </c>
      <c r="G451" s="3">
        <v>46631</v>
      </c>
      <c r="H451" s="20">
        <v>169.49090909090907</v>
      </c>
      <c r="I451" s="20">
        <v>244.71</v>
      </c>
      <c r="J451" s="20">
        <v>186.44</v>
      </c>
      <c r="K451" s="20">
        <f t="shared" si="4"/>
        <v>372.88</v>
      </c>
      <c r="L451" s="23">
        <v>2.5</v>
      </c>
      <c r="M451" s="20">
        <v>9.32</v>
      </c>
      <c r="N451" s="23">
        <v>2.5</v>
      </c>
      <c r="O451" s="20">
        <v>9.32</v>
      </c>
      <c r="P451" s="20">
        <v>379.76</v>
      </c>
    </row>
    <row r="452" spans="1:16" x14ac:dyDescent="0.35">
      <c r="A452">
        <v>451</v>
      </c>
      <c r="B452" t="s">
        <v>816</v>
      </c>
      <c r="C452" t="s">
        <v>823</v>
      </c>
      <c r="D452">
        <v>1</v>
      </c>
      <c r="E452" t="s">
        <v>602</v>
      </c>
      <c r="F452" s="2">
        <v>45954</v>
      </c>
      <c r="G452" s="3">
        <v>46478</v>
      </c>
      <c r="H452" s="20">
        <v>391.37272727272722</v>
      </c>
      <c r="I452" s="20">
        <v>635</v>
      </c>
      <c r="J452" s="20">
        <v>430.51</v>
      </c>
      <c r="K452" s="20">
        <f t="shared" si="4"/>
        <v>430.51</v>
      </c>
      <c r="L452" s="23">
        <v>2.5</v>
      </c>
      <c r="M452" s="20">
        <v>10.76</v>
      </c>
      <c r="N452" s="23">
        <v>9</v>
      </c>
      <c r="O452" s="20">
        <v>10.76</v>
      </c>
      <c r="P452" s="20">
        <v>492.79</v>
      </c>
    </row>
    <row r="453" spans="1:16" x14ac:dyDescent="0.35">
      <c r="A453">
        <v>452</v>
      </c>
      <c r="B453" t="s">
        <v>817</v>
      </c>
      <c r="C453" t="s">
        <v>824</v>
      </c>
      <c r="D453">
        <v>3</v>
      </c>
      <c r="E453" t="s">
        <v>602</v>
      </c>
      <c r="F453" s="2">
        <v>45954</v>
      </c>
      <c r="G453" s="3">
        <v>46905</v>
      </c>
      <c r="H453" s="20">
        <v>388.96363636363634</v>
      </c>
      <c r="I453" s="20">
        <v>561.55999999999995</v>
      </c>
      <c r="J453" s="20">
        <v>427.86</v>
      </c>
      <c r="K453" s="20">
        <f t="shared" si="4"/>
        <v>1283.58</v>
      </c>
      <c r="L453" s="23">
        <v>2.5</v>
      </c>
      <c r="M453" s="20">
        <v>32.090000000000003</v>
      </c>
      <c r="N453" s="23">
        <v>2.5</v>
      </c>
      <c r="O453" s="20">
        <v>32.090000000000003</v>
      </c>
      <c r="P453" s="20">
        <v>871.52</v>
      </c>
    </row>
    <row r="454" spans="1:16" x14ac:dyDescent="0.35">
      <c r="A454">
        <v>453</v>
      </c>
      <c r="B454" t="s">
        <v>818</v>
      </c>
      <c r="C454" t="s">
        <v>825</v>
      </c>
      <c r="D454">
        <v>1</v>
      </c>
      <c r="E454" t="s">
        <v>602</v>
      </c>
      <c r="F454" s="2">
        <v>45954</v>
      </c>
      <c r="G454" s="3">
        <v>47761</v>
      </c>
      <c r="H454" s="20">
        <v>75.86363636363636</v>
      </c>
      <c r="I454" s="20">
        <v>123.1</v>
      </c>
      <c r="J454" s="20">
        <v>83.45</v>
      </c>
      <c r="K454" s="20">
        <f t="shared" si="4"/>
        <v>83.45</v>
      </c>
      <c r="L454" s="23">
        <v>2.5</v>
      </c>
      <c r="M454" s="20">
        <v>2.09</v>
      </c>
      <c r="N454" s="23">
        <v>9</v>
      </c>
      <c r="O454" s="20">
        <v>2.09</v>
      </c>
      <c r="P454" s="20">
        <v>95.54</v>
      </c>
    </row>
    <row r="455" spans="1:16" x14ac:dyDescent="0.35">
      <c r="A455">
        <v>454</v>
      </c>
      <c r="B455" t="s">
        <v>818</v>
      </c>
      <c r="C455" t="s">
        <v>826</v>
      </c>
      <c r="D455">
        <v>1</v>
      </c>
      <c r="E455" t="s">
        <v>602</v>
      </c>
      <c r="F455" s="2">
        <v>45954</v>
      </c>
      <c r="G455" s="3">
        <v>46539</v>
      </c>
      <c r="H455" s="20">
        <v>75.86363636363636</v>
      </c>
      <c r="I455" s="20">
        <v>123.1</v>
      </c>
      <c r="J455" s="20">
        <v>83.45</v>
      </c>
      <c r="K455" s="20">
        <f t="shared" si="4"/>
        <v>83.45</v>
      </c>
      <c r="L455" s="23">
        <v>2.5</v>
      </c>
      <c r="M455" s="20">
        <v>2.09</v>
      </c>
      <c r="N455" s="23">
        <v>9</v>
      </c>
      <c r="O455" s="20">
        <v>2.09</v>
      </c>
      <c r="P455" s="20">
        <v>95.54</v>
      </c>
    </row>
    <row r="456" spans="1:16" x14ac:dyDescent="0.35">
      <c r="A456">
        <v>455</v>
      </c>
      <c r="B456" t="s">
        <v>819</v>
      </c>
      <c r="C456" t="s">
        <v>827</v>
      </c>
      <c r="D456">
        <v>2</v>
      </c>
      <c r="E456" t="s">
        <v>602</v>
      </c>
      <c r="F456" s="2">
        <v>45954</v>
      </c>
      <c r="G456" s="3">
        <v>46844</v>
      </c>
      <c r="H456" s="20">
        <v>16.827272727272728</v>
      </c>
      <c r="I456" s="20">
        <v>24.3</v>
      </c>
      <c r="J456" s="20">
        <v>18.510000000000002</v>
      </c>
      <c r="K456" s="20">
        <f t="shared" si="4"/>
        <v>37.020000000000003</v>
      </c>
      <c r="L456" s="23">
        <v>2.5</v>
      </c>
      <c r="M456" s="20">
        <v>0.93</v>
      </c>
      <c r="N456" s="23">
        <v>2.5</v>
      </c>
      <c r="O456" s="20">
        <v>0.93</v>
      </c>
      <c r="P456" s="20">
        <v>37.72</v>
      </c>
    </row>
    <row r="457" spans="1:16" x14ac:dyDescent="0.35">
      <c r="A457">
        <v>456</v>
      </c>
      <c r="B457" t="s">
        <v>828</v>
      </c>
      <c r="C457" t="s">
        <v>832</v>
      </c>
      <c r="D457">
        <v>12</v>
      </c>
      <c r="E457" t="s">
        <v>836</v>
      </c>
      <c r="F457" s="2">
        <v>45954</v>
      </c>
      <c r="G457" s="3">
        <v>46296</v>
      </c>
      <c r="H457" s="20">
        <v>319.91818181818184</v>
      </c>
      <c r="I457" s="20">
        <v>490</v>
      </c>
      <c r="J457" s="20">
        <v>351.91</v>
      </c>
      <c r="K457" s="20">
        <f t="shared" si="4"/>
        <v>4222.92</v>
      </c>
      <c r="L457" s="23">
        <v>9</v>
      </c>
      <c r="M457" s="20">
        <v>351.91</v>
      </c>
      <c r="N457" s="23">
        <v>9</v>
      </c>
      <c r="O457" s="20">
        <v>351.91</v>
      </c>
      <c r="P457" s="20">
        <v>3519.1</v>
      </c>
    </row>
    <row r="458" spans="1:16" x14ac:dyDescent="0.35">
      <c r="A458">
        <v>457</v>
      </c>
      <c r="B458" t="s">
        <v>829</v>
      </c>
      <c r="C458" t="s">
        <v>833</v>
      </c>
      <c r="D458">
        <v>12</v>
      </c>
      <c r="E458" t="s">
        <v>836</v>
      </c>
      <c r="F458" s="2">
        <v>45954</v>
      </c>
      <c r="G458" s="3">
        <v>46023</v>
      </c>
      <c r="H458" s="20">
        <v>279.21818181818179</v>
      </c>
      <c r="I458" s="20">
        <v>430</v>
      </c>
      <c r="J458" s="20">
        <v>307.14</v>
      </c>
      <c r="K458" s="20">
        <f t="shared" si="4"/>
        <v>3685.68</v>
      </c>
      <c r="L458" s="23">
        <v>6</v>
      </c>
      <c r="M458" s="20">
        <v>307.14</v>
      </c>
      <c r="N458" s="23">
        <v>6</v>
      </c>
      <c r="O458" s="20">
        <v>307.14</v>
      </c>
      <c r="P458" s="20">
        <v>3071.4</v>
      </c>
    </row>
    <row r="459" spans="1:16" x14ac:dyDescent="0.35">
      <c r="A459">
        <v>458</v>
      </c>
      <c r="B459" t="s">
        <v>830</v>
      </c>
      <c r="C459" t="s">
        <v>834</v>
      </c>
      <c r="D459">
        <v>24</v>
      </c>
      <c r="E459" t="s">
        <v>836</v>
      </c>
      <c r="F459" s="2">
        <v>45954</v>
      </c>
      <c r="G459" s="3">
        <v>46447</v>
      </c>
      <c r="H459" s="20">
        <v>100.64545454545453</v>
      </c>
      <c r="I459" s="20">
        <v>155</v>
      </c>
      <c r="J459" s="20">
        <v>110.71</v>
      </c>
      <c r="K459" s="20">
        <f t="shared" si="4"/>
        <v>2657.04</v>
      </c>
      <c r="L459" s="23">
        <v>6</v>
      </c>
      <c r="M459" s="20">
        <v>221.42</v>
      </c>
      <c r="N459" s="23">
        <v>6</v>
      </c>
      <c r="O459" s="20">
        <v>221.42</v>
      </c>
      <c r="P459" s="20">
        <v>2214.1999999999998</v>
      </c>
    </row>
    <row r="460" spans="1:16" x14ac:dyDescent="0.35">
      <c r="A460">
        <v>459</v>
      </c>
      <c r="B460" t="s">
        <v>831</v>
      </c>
      <c r="C460" t="s">
        <v>835</v>
      </c>
      <c r="D460">
        <v>12</v>
      </c>
      <c r="E460" t="s">
        <v>836</v>
      </c>
      <c r="F460" s="2">
        <v>45954</v>
      </c>
      <c r="G460" s="3">
        <v>46296</v>
      </c>
      <c r="H460" s="20">
        <v>126.62727272727271</v>
      </c>
      <c r="I460" s="20">
        <v>195</v>
      </c>
      <c r="J460" s="20">
        <v>139.29</v>
      </c>
      <c r="K460" s="20">
        <f t="shared" si="4"/>
        <v>1671.48</v>
      </c>
      <c r="L460" s="23">
        <v>6</v>
      </c>
      <c r="M460" s="20">
        <v>139.29</v>
      </c>
      <c r="N460" s="23">
        <v>6</v>
      </c>
      <c r="O460" s="20">
        <v>139.29</v>
      </c>
      <c r="P460" s="20">
        <v>1392.9</v>
      </c>
    </row>
    <row r="461" spans="1:16" x14ac:dyDescent="0.35">
      <c r="A461">
        <v>460</v>
      </c>
      <c r="B461" t="s">
        <v>837</v>
      </c>
      <c r="C461" s="4">
        <v>272500395</v>
      </c>
      <c r="D461">
        <v>5</v>
      </c>
      <c r="E461" t="s">
        <v>37</v>
      </c>
      <c r="F461" s="2">
        <v>45955</v>
      </c>
      <c r="G461" s="3">
        <v>46935</v>
      </c>
      <c r="H461" s="20">
        <v>43.645454545454541</v>
      </c>
      <c r="I461" s="20">
        <v>62</v>
      </c>
      <c r="J461" s="20">
        <v>48.01</v>
      </c>
      <c r="K461" s="20">
        <f t="shared" si="4"/>
        <v>240.04999999999998</v>
      </c>
      <c r="L461" s="23">
        <v>2.5</v>
      </c>
      <c r="M461" s="20">
        <v>5.88</v>
      </c>
      <c r="N461" s="23">
        <v>2.5</v>
      </c>
      <c r="O461" s="20">
        <v>5.88</v>
      </c>
      <c r="P461" s="20">
        <v>247.01</v>
      </c>
    </row>
    <row r="462" spans="1:16" x14ac:dyDescent="0.35">
      <c r="A462">
        <v>461</v>
      </c>
      <c r="B462" t="s">
        <v>838</v>
      </c>
      <c r="C462" t="s">
        <v>847</v>
      </c>
      <c r="D462">
        <v>8</v>
      </c>
      <c r="E462" t="s">
        <v>37</v>
      </c>
      <c r="F462" s="2">
        <v>45955</v>
      </c>
      <c r="G462" s="3">
        <v>46966</v>
      </c>
      <c r="H462" s="20">
        <v>107.36363636363635</v>
      </c>
      <c r="I462" s="20">
        <v>155</v>
      </c>
      <c r="J462" s="20">
        <v>118.1</v>
      </c>
      <c r="K462" s="20">
        <f t="shared" si="4"/>
        <v>944.8</v>
      </c>
      <c r="L462" s="23">
        <v>2.5</v>
      </c>
      <c r="M462" s="20">
        <v>22.91</v>
      </c>
      <c r="N462" s="23">
        <v>2.5</v>
      </c>
      <c r="O462" s="20">
        <v>22.91</v>
      </c>
      <c r="P462" s="20">
        <v>962.28</v>
      </c>
    </row>
    <row r="463" spans="1:16" x14ac:dyDescent="0.35">
      <c r="A463">
        <v>462</v>
      </c>
      <c r="B463" t="s">
        <v>525</v>
      </c>
      <c r="C463" t="s">
        <v>848</v>
      </c>
      <c r="D463">
        <v>1</v>
      </c>
      <c r="E463" t="s">
        <v>37</v>
      </c>
      <c r="F463" s="2">
        <v>45955</v>
      </c>
      <c r="G463" s="3">
        <v>46296</v>
      </c>
      <c r="H463" s="20">
        <v>84</v>
      </c>
      <c r="I463" s="20">
        <v>115.5</v>
      </c>
      <c r="J463" s="20">
        <v>92.4</v>
      </c>
      <c r="K463" s="20">
        <f t="shared" si="4"/>
        <v>92.4</v>
      </c>
      <c r="L463" s="23">
        <v>2.5</v>
      </c>
      <c r="M463" s="20">
        <v>2.2400000000000002</v>
      </c>
      <c r="N463" s="23">
        <v>2.5</v>
      </c>
      <c r="O463" s="20">
        <v>2.2400000000000002</v>
      </c>
      <c r="P463" s="20">
        <v>94.11</v>
      </c>
    </row>
    <row r="464" spans="1:16" x14ac:dyDescent="0.35">
      <c r="A464">
        <v>463</v>
      </c>
      <c r="B464" t="s">
        <v>839</v>
      </c>
      <c r="C464" s="4">
        <v>252321</v>
      </c>
      <c r="D464">
        <v>2</v>
      </c>
      <c r="E464" t="s">
        <v>37</v>
      </c>
      <c r="F464" s="2">
        <v>45955</v>
      </c>
      <c r="G464" s="3">
        <v>46935</v>
      </c>
      <c r="H464" s="20">
        <v>212.19090909090906</v>
      </c>
      <c r="I464" s="20">
        <v>325</v>
      </c>
      <c r="J464" s="20">
        <v>233.41</v>
      </c>
      <c r="K464" s="20">
        <f t="shared" si="4"/>
        <v>466.82</v>
      </c>
      <c r="L464" s="23">
        <v>9</v>
      </c>
      <c r="M464" s="20">
        <v>42.01</v>
      </c>
      <c r="N464" s="23">
        <v>9</v>
      </c>
      <c r="O464" s="20">
        <v>42.01</v>
      </c>
      <c r="P464" s="20">
        <v>550.84</v>
      </c>
    </row>
    <row r="465" spans="1:16" x14ac:dyDescent="0.35">
      <c r="A465">
        <v>464</v>
      </c>
      <c r="B465" t="s">
        <v>716</v>
      </c>
      <c r="C465" t="s">
        <v>725</v>
      </c>
      <c r="D465">
        <v>10</v>
      </c>
      <c r="E465" t="s">
        <v>37</v>
      </c>
      <c r="F465" s="2">
        <v>45955</v>
      </c>
      <c r="G465" s="3">
        <v>46419</v>
      </c>
      <c r="H465" s="20">
        <v>81.818181818181813</v>
      </c>
      <c r="I465" s="20">
        <v>118.13</v>
      </c>
      <c r="J465" s="20">
        <v>90</v>
      </c>
      <c r="K465" s="20">
        <f t="shared" si="4"/>
        <v>900</v>
      </c>
      <c r="L465" s="23">
        <v>2.5</v>
      </c>
      <c r="M465" s="20">
        <v>21.83</v>
      </c>
      <c r="N465" s="23">
        <v>2.5</v>
      </c>
      <c r="O465" s="20">
        <v>21.83</v>
      </c>
      <c r="P465" s="20">
        <v>916.66</v>
      </c>
    </row>
    <row r="466" spans="1:16" x14ac:dyDescent="0.35">
      <c r="A466">
        <v>465</v>
      </c>
      <c r="B466" t="s">
        <v>840</v>
      </c>
      <c r="C466" t="s">
        <v>538</v>
      </c>
      <c r="D466">
        <v>1</v>
      </c>
      <c r="E466" t="s">
        <v>37</v>
      </c>
      <c r="F466" s="2">
        <v>45955</v>
      </c>
      <c r="G466" s="3">
        <v>46539</v>
      </c>
      <c r="H466" s="20">
        <v>350.36363636363632</v>
      </c>
      <c r="I466" s="20">
        <v>505.84</v>
      </c>
      <c r="J466" s="20">
        <v>385.4</v>
      </c>
      <c r="K466" s="20">
        <f t="shared" si="4"/>
        <v>385.4</v>
      </c>
      <c r="L466" s="23">
        <v>2.5</v>
      </c>
      <c r="M466" s="20">
        <v>9.35</v>
      </c>
      <c r="N466" s="23">
        <v>2.5</v>
      </c>
      <c r="O466" s="20">
        <v>9.35</v>
      </c>
      <c r="P466" s="20">
        <v>392.54</v>
      </c>
    </row>
    <row r="467" spans="1:16" x14ac:dyDescent="0.35">
      <c r="A467">
        <v>466</v>
      </c>
      <c r="B467" t="s">
        <v>841</v>
      </c>
      <c r="C467" s="4" t="s">
        <v>850</v>
      </c>
      <c r="D467">
        <v>4</v>
      </c>
      <c r="E467" t="s">
        <v>37</v>
      </c>
      <c r="F467" s="2">
        <v>45955</v>
      </c>
      <c r="G467" s="3">
        <v>46478</v>
      </c>
      <c r="H467" s="20">
        <v>91.881818181818161</v>
      </c>
      <c r="I467" s="20">
        <v>132.65</v>
      </c>
      <c r="J467" s="20">
        <v>101.07</v>
      </c>
      <c r="K467" s="20">
        <f t="shared" si="4"/>
        <v>404.28</v>
      </c>
      <c r="L467" s="23">
        <v>2.5</v>
      </c>
      <c r="M467" s="20">
        <v>9.8000000000000007</v>
      </c>
      <c r="N467" s="23">
        <v>2.5</v>
      </c>
      <c r="O467" s="20">
        <v>9.8000000000000007</v>
      </c>
      <c r="P467" s="20">
        <v>411.75</v>
      </c>
    </row>
    <row r="468" spans="1:16" x14ac:dyDescent="0.35">
      <c r="A468">
        <v>467</v>
      </c>
      <c r="B468" t="s">
        <v>842</v>
      </c>
      <c r="C468" t="s">
        <v>849</v>
      </c>
      <c r="D468">
        <v>2</v>
      </c>
      <c r="E468" t="s">
        <v>37</v>
      </c>
      <c r="F468" s="2">
        <v>45955</v>
      </c>
      <c r="G468" s="3">
        <v>46905</v>
      </c>
      <c r="H468" s="20">
        <v>228.99090909090907</v>
      </c>
      <c r="I468" s="20">
        <v>330.61</v>
      </c>
      <c r="J468" s="20">
        <v>251.89</v>
      </c>
      <c r="K468" s="20">
        <f t="shared" si="4"/>
        <v>503.78</v>
      </c>
      <c r="L468" s="23">
        <v>2.5</v>
      </c>
      <c r="M468" s="20">
        <v>12.22</v>
      </c>
      <c r="N468" s="23">
        <v>2.5</v>
      </c>
      <c r="O468" s="20">
        <v>12.22</v>
      </c>
      <c r="P468" s="20">
        <v>513.11</v>
      </c>
    </row>
    <row r="469" spans="1:16" x14ac:dyDescent="0.35">
      <c r="A469">
        <v>468</v>
      </c>
      <c r="B469" t="s">
        <v>654</v>
      </c>
      <c r="C469" t="s">
        <v>851</v>
      </c>
      <c r="D469">
        <v>2</v>
      </c>
      <c r="E469" t="s">
        <v>37</v>
      </c>
      <c r="F469" s="2">
        <v>45955</v>
      </c>
      <c r="G469" s="3">
        <v>46692</v>
      </c>
      <c r="H469" s="20">
        <v>90.945454545454538</v>
      </c>
      <c r="I469" s="20">
        <v>131.30000000000001</v>
      </c>
      <c r="J469" s="20">
        <v>100.04</v>
      </c>
      <c r="K469" s="20">
        <f t="shared" si="4"/>
        <v>200.08</v>
      </c>
      <c r="L469" s="23">
        <v>2.5</v>
      </c>
      <c r="M469" s="20">
        <v>4.8499999999999996</v>
      </c>
      <c r="N469" s="23">
        <v>2.5</v>
      </c>
      <c r="O469" s="20">
        <v>4.8499999999999996</v>
      </c>
      <c r="P469" s="20">
        <v>203.78</v>
      </c>
    </row>
    <row r="470" spans="1:16" x14ac:dyDescent="0.35">
      <c r="A470">
        <v>469</v>
      </c>
      <c r="B470" t="s">
        <v>843</v>
      </c>
      <c r="C470" t="s">
        <v>852</v>
      </c>
      <c r="D470">
        <v>1</v>
      </c>
      <c r="E470" t="s">
        <v>37</v>
      </c>
      <c r="F470" s="2">
        <v>45955</v>
      </c>
      <c r="G470" s="3">
        <v>46539</v>
      </c>
      <c r="H470" s="20">
        <v>58.263636363636365</v>
      </c>
      <c r="I470" s="20">
        <v>84.13</v>
      </c>
      <c r="J470" s="20">
        <v>64.09</v>
      </c>
      <c r="K470" s="20">
        <f t="shared" si="4"/>
        <v>64.09</v>
      </c>
      <c r="L470" s="23">
        <v>2.5</v>
      </c>
      <c r="M470" s="20">
        <v>1.55</v>
      </c>
      <c r="N470" s="23">
        <v>2.5</v>
      </c>
      <c r="O470" s="20">
        <v>1.55</v>
      </c>
      <c r="P470" s="20">
        <v>65.27</v>
      </c>
    </row>
    <row r="471" spans="1:16" x14ac:dyDescent="0.35">
      <c r="A471">
        <v>470</v>
      </c>
      <c r="B471" t="s">
        <v>844</v>
      </c>
      <c r="C471" t="s">
        <v>853</v>
      </c>
      <c r="D471">
        <v>4</v>
      </c>
      <c r="E471" t="s">
        <v>37</v>
      </c>
      <c r="F471" s="2">
        <v>45955</v>
      </c>
      <c r="G471" s="3">
        <v>46539</v>
      </c>
      <c r="H471" s="20">
        <v>260.42727272727274</v>
      </c>
      <c r="I471" s="20">
        <v>375.99</v>
      </c>
      <c r="J471" s="20">
        <v>286.47000000000003</v>
      </c>
      <c r="K471" s="20">
        <f t="shared" si="4"/>
        <v>1145.8800000000001</v>
      </c>
      <c r="L471" s="23">
        <v>2.5</v>
      </c>
      <c r="M471" s="20">
        <v>27.79</v>
      </c>
      <c r="N471" s="23">
        <v>2.5</v>
      </c>
      <c r="O471" s="20">
        <v>27.79</v>
      </c>
      <c r="P471" s="20">
        <v>1167.08</v>
      </c>
    </row>
    <row r="472" spans="1:16" x14ac:dyDescent="0.35">
      <c r="A472">
        <v>471</v>
      </c>
      <c r="B472" t="s">
        <v>845</v>
      </c>
      <c r="C472" t="s">
        <v>854</v>
      </c>
      <c r="D472">
        <v>1</v>
      </c>
      <c r="E472" t="s">
        <v>37</v>
      </c>
      <c r="F472" s="2">
        <v>45955</v>
      </c>
      <c r="G472" s="3">
        <v>46388</v>
      </c>
      <c r="H472" s="20">
        <v>300.15454545454543</v>
      </c>
      <c r="I472" s="20">
        <v>487</v>
      </c>
      <c r="J472" s="20">
        <v>330.17</v>
      </c>
      <c r="K472" s="20">
        <f t="shared" si="4"/>
        <v>330.17</v>
      </c>
      <c r="L472" s="23">
        <v>9</v>
      </c>
      <c r="M472" s="20">
        <v>28.82</v>
      </c>
      <c r="N472" s="23">
        <v>9</v>
      </c>
      <c r="O472" s="20">
        <v>28.82</v>
      </c>
      <c r="P472" s="20">
        <v>377.9</v>
      </c>
    </row>
    <row r="473" spans="1:16" x14ac:dyDescent="0.35">
      <c r="A473">
        <v>472</v>
      </c>
      <c r="B473" t="s">
        <v>846</v>
      </c>
      <c r="C473" t="s">
        <v>855</v>
      </c>
      <c r="D473">
        <v>1</v>
      </c>
      <c r="E473" t="s">
        <v>37</v>
      </c>
      <c r="F473" s="2">
        <v>45955</v>
      </c>
      <c r="G473" s="3">
        <v>46874</v>
      </c>
      <c r="H473" s="20">
        <v>48.699999999999996</v>
      </c>
      <c r="I473" s="20">
        <v>70.31</v>
      </c>
      <c r="J473" s="20">
        <v>53.57</v>
      </c>
      <c r="K473" s="20">
        <f t="shared" si="4"/>
        <v>53.57</v>
      </c>
      <c r="L473" s="23">
        <v>2.5</v>
      </c>
      <c r="M473" s="20">
        <v>1.3</v>
      </c>
      <c r="N473" s="23">
        <v>2.5</v>
      </c>
      <c r="O473" s="20">
        <v>1.3</v>
      </c>
      <c r="P473" s="20">
        <v>54.56</v>
      </c>
    </row>
    <row r="474" spans="1:16" x14ac:dyDescent="0.35">
      <c r="A474">
        <v>473</v>
      </c>
      <c r="B474" t="s">
        <v>856</v>
      </c>
      <c r="C474" t="s">
        <v>864</v>
      </c>
      <c r="D474">
        <v>3</v>
      </c>
      <c r="E474" t="s">
        <v>37</v>
      </c>
      <c r="F474" s="2">
        <v>45955</v>
      </c>
      <c r="G474" s="3">
        <v>46539</v>
      </c>
      <c r="H474" s="20">
        <v>148.20909090909089</v>
      </c>
      <c r="I474" s="20">
        <v>213.98</v>
      </c>
      <c r="J474" s="20">
        <v>163.03</v>
      </c>
      <c r="K474" s="20">
        <v>474.42</v>
      </c>
      <c r="L474" s="23">
        <v>2.5</v>
      </c>
      <c r="M474" s="20">
        <v>11.86</v>
      </c>
      <c r="N474" s="23">
        <v>2.5</v>
      </c>
      <c r="O474" s="20">
        <v>11.86</v>
      </c>
      <c r="P474" s="20">
        <v>498.14</v>
      </c>
    </row>
    <row r="475" spans="1:16" x14ac:dyDescent="0.35">
      <c r="A475">
        <v>474</v>
      </c>
      <c r="B475" t="s">
        <v>857</v>
      </c>
      <c r="C475" t="s">
        <v>865</v>
      </c>
      <c r="D475">
        <v>1</v>
      </c>
      <c r="E475" t="s">
        <v>37</v>
      </c>
      <c r="F475" s="2">
        <v>45955</v>
      </c>
      <c r="G475" s="3">
        <v>46478</v>
      </c>
      <c r="H475" s="20">
        <v>68.654545454545442</v>
      </c>
      <c r="I475" s="20">
        <v>99.12</v>
      </c>
      <c r="J475" s="20">
        <v>75.52</v>
      </c>
      <c r="K475" s="20">
        <v>73.25</v>
      </c>
      <c r="L475" s="23">
        <v>2.5</v>
      </c>
      <c r="M475" s="20">
        <v>1.83</v>
      </c>
      <c r="N475" s="23">
        <v>2.5</v>
      </c>
      <c r="O475" s="20">
        <v>1.83</v>
      </c>
      <c r="P475" s="20">
        <v>76.91</v>
      </c>
    </row>
    <row r="476" spans="1:16" x14ac:dyDescent="0.35">
      <c r="A476">
        <v>475</v>
      </c>
      <c r="B476" t="s">
        <v>858</v>
      </c>
      <c r="C476" t="s">
        <v>866</v>
      </c>
      <c r="D476">
        <v>6</v>
      </c>
      <c r="E476" t="s">
        <v>37</v>
      </c>
      <c r="F476" s="2">
        <v>45955</v>
      </c>
      <c r="G476" s="3">
        <v>46874</v>
      </c>
      <c r="H476" s="20">
        <v>24.381818181818179</v>
      </c>
      <c r="I476" s="20">
        <v>35.200000000000003</v>
      </c>
      <c r="J476" s="20">
        <v>26.82</v>
      </c>
      <c r="K476" s="20">
        <v>156.09</v>
      </c>
      <c r="L476" s="23">
        <v>2.5</v>
      </c>
      <c r="M476" s="20">
        <v>3.9</v>
      </c>
      <c r="N476" s="23">
        <v>2.5</v>
      </c>
      <c r="O476" s="20">
        <v>3.9</v>
      </c>
      <c r="P476" s="20">
        <v>163.89</v>
      </c>
    </row>
    <row r="477" spans="1:16" x14ac:dyDescent="0.35">
      <c r="A477">
        <v>476</v>
      </c>
      <c r="B477" t="s">
        <v>337</v>
      </c>
      <c r="C477" t="s">
        <v>867</v>
      </c>
      <c r="D477">
        <v>1</v>
      </c>
      <c r="E477" t="s">
        <v>37</v>
      </c>
      <c r="F477" s="2">
        <v>45955</v>
      </c>
      <c r="G477" s="3">
        <v>46569</v>
      </c>
      <c r="H477" s="20">
        <v>227.27272727272725</v>
      </c>
      <c r="I477" s="20">
        <v>328.12</v>
      </c>
      <c r="J477" s="20">
        <v>250</v>
      </c>
      <c r="K477" s="20">
        <v>242.5</v>
      </c>
      <c r="L477" s="23">
        <v>2.5</v>
      </c>
      <c r="M477" s="20">
        <v>6.06</v>
      </c>
      <c r="N477" s="23">
        <v>2.5</v>
      </c>
      <c r="O477" s="20">
        <v>6.06</v>
      </c>
      <c r="P477" s="20">
        <v>254.62</v>
      </c>
    </row>
    <row r="478" spans="1:16" x14ac:dyDescent="0.35">
      <c r="A478">
        <v>477</v>
      </c>
      <c r="B478" t="s">
        <v>859</v>
      </c>
      <c r="C478" t="s">
        <v>868</v>
      </c>
      <c r="D478">
        <v>1</v>
      </c>
      <c r="E478" t="s">
        <v>37</v>
      </c>
      <c r="F478" s="2">
        <v>45955</v>
      </c>
      <c r="G478" s="3">
        <v>46539</v>
      </c>
      <c r="H478" s="20">
        <v>107.07272727272726</v>
      </c>
      <c r="I478" s="20">
        <v>154.59</v>
      </c>
      <c r="J478" s="20">
        <v>117.78</v>
      </c>
      <c r="K478" s="20">
        <v>114.25</v>
      </c>
      <c r="L478" s="23">
        <v>2.5</v>
      </c>
      <c r="M478" s="20">
        <v>2.86</v>
      </c>
      <c r="N478" s="23">
        <v>2.5</v>
      </c>
      <c r="O478" s="20">
        <v>2.86</v>
      </c>
      <c r="P478" s="20">
        <v>119.97</v>
      </c>
    </row>
    <row r="479" spans="1:16" x14ac:dyDescent="0.35">
      <c r="A479">
        <v>478</v>
      </c>
      <c r="B479" t="s">
        <v>860</v>
      </c>
      <c r="C479" t="s">
        <v>869</v>
      </c>
      <c r="D479">
        <v>2</v>
      </c>
      <c r="E479" t="s">
        <v>37</v>
      </c>
      <c r="F479" s="2">
        <v>45955</v>
      </c>
      <c r="G479" s="3">
        <v>46569</v>
      </c>
      <c r="H479" s="20">
        <v>116.92727272727272</v>
      </c>
      <c r="I479" s="20">
        <v>168.82</v>
      </c>
      <c r="J479" s="20">
        <v>128.62</v>
      </c>
      <c r="K479" s="20">
        <v>249.52</v>
      </c>
      <c r="L479" s="23">
        <v>2.5</v>
      </c>
      <c r="M479" s="20">
        <v>6.24</v>
      </c>
      <c r="N479" s="23">
        <v>2.5</v>
      </c>
      <c r="O479" s="20">
        <v>6.24</v>
      </c>
      <c r="P479" s="20">
        <v>262</v>
      </c>
    </row>
    <row r="480" spans="1:16" x14ac:dyDescent="0.35">
      <c r="A480">
        <v>479</v>
      </c>
      <c r="B480" t="s">
        <v>861</v>
      </c>
      <c r="C480" t="s">
        <v>870</v>
      </c>
      <c r="D480">
        <v>5</v>
      </c>
      <c r="E480" t="s">
        <v>37</v>
      </c>
      <c r="F480" s="2">
        <v>45955</v>
      </c>
      <c r="G480" s="3">
        <v>46935</v>
      </c>
      <c r="H480" s="20">
        <v>29.672727272727272</v>
      </c>
      <c r="I480" s="20">
        <v>42.84</v>
      </c>
      <c r="J480" s="20">
        <v>32.64</v>
      </c>
      <c r="K480" s="20">
        <v>158.30000000000001</v>
      </c>
      <c r="L480" s="23">
        <v>2.5</v>
      </c>
      <c r="M480" s="20">
        <v>3.96</v>
      </c>
      <c r="N480" s="23">
        <v>2.5</v>
      </c>
      <c r="O480" s="20">
        <v>3.96</v>
      </c>
      <c r="P480" s="20">
        <v>166.22</v>
      </c>
    </row>
    <row r="481" spans="1:16" x14ac:dyDescent="0.35">
      <c r="A481">
        <v>480</v>
      </c>
      <c r="B481" t="s">
        <v>550</v>
      </c>
      <c r="C481" t="s">
        <v>871</v>
      </c>
      <c r="D481">
        <v>12</v>
      </c>
      <c r="E481" t="s">
        <v>37</v>
      </c>
      <c r="F481" s="2">
        <v>45955</v>
      </c>
      <c r="G481" s="3">
        <v>46508</v>
      </c>
      <c r="H481" s="20">
        <v>54.209090909090904</v>
      </c>
      <c r="I481" s="20">
        <v>78.25</v>
      </c>
      <c r="J481" s="20">
        <v>59.63</v>
      </c>
      <c r="K481" s="20">
        <v>694.09</v>
      </c>
      <c r="L481" s="23">
        <v>2.5</v>
      </c>
      <c r="M481" s="20">
        <v>17.350000000000001</v>
      </c>
      <c r="N481" s="23">
        <v>2.5</v>
      </c>
      <c r="O481" s="20">
        <v>17.350000000000001</v>
      </c>
      <c r="P481" s="20">
        <v>728.79</v>
      </c>
    </row>
    <row r="482" spans="1:16" x14ac:dyDescent="0.35">
      <c r="A482">
        <v>481</v>
      </c>
      <c r="B482" t="s">
        <v>49</v>
      </c>
      <c r="C482" t="s">
        <v>872</v>
      </c>
      <c r="D482">
        <v>6</v>
      </c>
      <c r="E482" t="s">
        <v>37</v>
      </c>
      <c r="F482" s="2">
        <v>45955</v>
      </c>
      <c r="G482" s="3">
        <v>46539</v>
      </c>
      <c r="H482" s="20">
        <v>135.71818181818179</v>
      </c>
      <c r="I482" s="20">
        <v>195.94</v>
      </c>
      <c r="J482" s="20">
        <v>149.29</v>
      </c>
      <c r="K482" s="20">
        <v>868.87</v>
      </c>
      <c r="L482" s="23">
        <v>2.5</v>
      </c>
      <c r="M482" s="20">
        <v>21.72</v>
      </c>
      <c r="N482" s="23">
        <v>2.5</v>
      </c>
      <c r="O482" s="20">
        <v>21.72</v>
      </c>
      <c r="P482" s="20">
        <v>912.31</v>
      </c>
    </row>
    <row r="483" spans="1:16" x14ac:dyDescent="0.35">
      <c r="A483">
        <v>482</v>
      </c>
      <c r="B483" t="s">
        <v>862</v>
      </c>
      <c r="C483" t="s">
        <v>873</v>
      </c>
      <c r="D483">
        <v>4</v>
      </c>
      <c r="E483" t="s">
        <v>37</v>
      </c>
      <c r="F483" s="2">
        <v>45955</v>
      </c>
      <c r="G483" s="3">
        <v>46508</v>
      </c>
      <c r="H483" s="20">
        <v>163.63636363636363</v>
      </c>
      <c r="I483" s="20">
        <v>236.25</v>
      </c>
      <c r="J483" s="20">
        <v>180</v>
      </c>
      <c r="K483" s="20">
        <v>698.4</v>
      </c>
      <c r="L483" s="23">
        <v>2.5</v>
      </c>
      <c r="M483" s="20">
        <v>17.46</v>
      </c>
      <c r="N483" s="23">
        <v>2.5</v>
      </c>
      <c r="O483" s="20">
        <v>17.46</v>
      </c>
      <c r="P483" s="20">
        <v>733.32</v>
      </c>
    </row>
    <row r="484" spans="1:16" x14ac:dyDescent="0.35">
      <c r="A484">
        <v>483</v>
      </c>
      <c r="B484" t="s">
        <v>863</v>
      </c>
      <c r="C484" t="s">
        <v>874</v>
      </c>
      <c r="D484">
        <v>2</v>
      </c>
      <c r="E484" t="s">
        <v>37</v>
      </c>
      <c r="F484" s="2">
        <v>45955</v>
      </c>
      <c r="G484" s="3">
        <v>46478</v>
      </c>
      <c r="H484" s="20">
        <v>128.72727272727272</v>
      </c>
      <c r="I484" s="20">
        <v>177</v>
      </c>
      <c r="J484" s="20">
        <v>141.6</v>
      </c>
      <c r="K484" s="20">
        <v>277.54000000000002</v>
      </c>
      <c r="L484" s="23">
        <v>2.5</v>
      </c>
      <c r="M484" s="20">
        <v>8.94</v>
      </c>
      <c r="N484" s="23">
        <v>2.5</v>
      </c>
      <c r="O484" s="20">
        <v>8.94</v>
      </c>
      <c r="P484" s="20">
        <v>291.42</v>
      </c>
    </row>
    <row r="485" spans="1:16" x14ac:dyDescent="0.35">
      <c r="A485">
        <v>484</v>
      </c>
      <c r="B485" t="s">
        <v>875</v>
      </c>
      <c r="C485" t="s">
        <v>881</v>
      </c>
      <c r="D485">
        <v>1</v>
      </c>
      <c r="E485" t="s">
        <v>95</v>
      </c>
      <c r="F485" s="2">
        <v>45956</v>
      </c>
      <c r="G485" s="3">
        <v>46478</v>
      </c>
      <c r="H485" s="20">
        <v>856.70909090909083</v>
      </c>
      <c r="I485" s="20">
        <v>1390</v>
      </c>
      <c r="J485" s="20">
        <v>942.38</v>
      </c>
      <c r="K485" s="20">
        <v>914.11</v>
      </c>
      <c r="L485" s="23">
        <v>9</v>
      </c>
      <c r="M485" s="20">
        <v>82.27</v>
      </c>
      <c r="N485" s="23">
        <v>9</v>
      </c>
      <c r="O485" s="20">
        <v>82.27</v>
      </c>
      <c r="P485" s="20">
        <v>1078.6500000000001</v>
      </c>
    </row>
    <row r="486" spans="1:16" x14ac:dyDescent="0.35">
      <c r="A486">
        <v>485</v>
      </c>
      <c r="B486" t="s">
        <v>876</v>
      </c>
      <c r="C486" t="s">
        <v>882</v>
      </c>
      <c r="D486">
        <v>1</v>
      </c>
      <c r="E486" t="s">
        <v>95</v>
      </c>
      <c r="F486" s="2">
        <v>45956</v>
      </c>
      <c r="G486" s="3">
        <v>46905</v>
      </c>
      <c r="H486" s="20">
        <v>186.91818181818181</v>
      </c>
      <c r="I486" s="20">
        <v>262.5</v>
      </c>
      <c r="J486" s="20">
        <v>205.61</v>
      </c>
      <c r="K486" s="20">
        <v>199.44</v>
      </c>
      <c r="L486" s="23">
        <v>2.5</v>
      </c>
      <c r="M486" s="20">
        <v>4.99</v>
      </c>
      <c r="N486" s="23">
        <v>2.5</v>
      </c>
      <c r="O486" s="20">
        <v>4.99</v>
      </c>
      <c r="P486" s="20">
        <v>209.42</v>
      </c>
    </row>
    <row r="487" spans="1:16" x14ac:dyDescent="0.35">
      <c r="A487">
        <v>486</v>
      </c>
      <c r="B487" t="s">
        <v>877</v>
      </c>
      <c r="C487" t="s">
        <v>883</v>
      </c>
      <c r="D487">
        <v>10</v>
      </c>
      <c r="E487" t="s">
        <v>95</v>
      </c>
      <c r="F487" s="2">
        <v>45956</v>
      </c>
      <c r="G487" s="3">
        <v>46874</v>
      </c>
      <c r="H487" s="20">
        <v>30.518181818181816</v>
      </c>
      <c r="I487" s="20">
        <v>44.06</v>
      </c>
      <c r="J487" s="20">
        <v>33.57</v>
      </c>
      <c r="K487" s="20">
        <v>325.63</v>
      </c>
      <c r="L487" s="23">
        <v>2.5</v>
      </c>
      <c r="M487" s="20">
        <v>8.14</v>
      </c>
      <c r="N487" s="23">
        <v>2.5</v>
      </c>
      <c r="O487" s="20">
        <v>8.14</v>
      </c>
      <c r="P487" s="20">
        <v>341.91</v>
      </c>
    </row>
    <row r="488" spans="1:16" x14ac:dyDescent="0.35">
      <c r="A488">
        <v>487</v>
      </c>
      <c r="B488" t="s">
        <v>526</v>
      </c>
      <c r="C488" t="s">
        <v>884</v>
      </c>
      <c r="D488">
        <v>1</v>
      </c>
      <c r="E488" t="s">
        <v>95</v>
      </c>
      <c r="F488" s="2">
        <v>45956</v>
      </c>
      <c r="G488" s="3">
        <v>46569</v>
      </c>
      <c r="H488" s="20">
        <v>426.49999999999994</v>
      </c>
      <c r="I488" s="20">
        <v>692</v>
      </c>
      <c r="J488" s="20">
        <v>469.15</v>
      </c>
      <c r="K488" s="20">
        <v>455.08</v>
      </c>
      <c r="L488" s="23">
        <v>9</v>
      </c>
      <c r="M488" s="20">
        <v>40.96</v>
      </c>
      <c r="N488" s="23">
        <v>9</v>
      </c>
      <c r="O488" s="20">
        <v>40.96</v>
      </c>
      <c r="P488" s="20">
        <v>537</v>
      </c>
    </row>
    <row r="489" spans="1:16" x14ac:dyDescent="0.35">
      <c r="A489">
        <v>488</v>
      </c>
      <c r="B489" t="s">
        <v>878</v>
      </c>
      <c r="C489" t="s">
        <v>885</v>
      </c>
      <c r="D489">
        <v>1</v>
      </c>
      <c r="E489" t="s">
        <v>95</v>
      </c>
      <c r="F489" s="2">
        <v>45956</v>
      </c>
      <c r="G489" s="3">
        <v>46419</v>
      </c>
      <c r="H489" s="20">
        <v>332.22727272727269</v>
      </c>
      <c r="I489" s="20">
        <v>479.65</v>
      </c>
      <c r="J489" s="20">
        <v>365.45</v>
      </c>
      <c r="K489" s="20">
        <v>354.49</v>
      </c>
      <c r="L489" s="23">
        <v>2.5</v>
      </c>
      <c r="M489" s="20">
        <v>8.86</v>
      </c>
      <c r="N489" s="23">
        <v>2.5</v>
      </c>
      <c r="O489" s="20">
        <v>8.86</v>
      </c>
      <c r="P489" s="20">
        <v>372.21</v>
      </c>
    </row>
    <row r="490" spans="1:16" x14ac:dyDescent="0.35">
      <c r="A490">
        <v>489</v>
      </c>
      <c r="B490" t="s">
        <v>511</v>
      </c>
      <c r="C490" t="s">
        <v>886</v>
      </c>
      <c r="D490">
        <v>3</v>
      </c>
      <c r="E490" t="s">
        <v>95</v>
      </c>
      <c r="F490" s="2">
        <v>45956</v>
      </c>
      <c r="G490" s="3">
        <v>46692</v>
      </c>
      <c r="H490" s="20">
        <v>60.645454545454534</v>
      </c>
      <c r="I490" s="20">
        <v>87.56</v>
      </c>
      <c r="J490" s="20">
        <v>66.709999999999994</v>
      </c>
      <c r="K490" s="20">
        <v>194.12</v>
      </c>
      <c r="L490" s="23">
        <v>2.5</v>
      </c>
      <c r="M490" s="20">
        <v>4.8499999999999996</v>
      </c>
      <c r="N490" s="23">
        <v>2.5</v>
      </c>
      <c r="O490" s="20">
        <v>4.8499999999999996</v>
      </c>
      <c r="P490" s="20">
        <v>203.83</v>
      </c>
    </row>
    <row r="491" spans="1:16" x14ac:dyDescent="0.35">
      <c r="A491">
        <v>490</v>
      </c>
      <c r="B491" t="s">
        <v>507</v>
      </c>
      <c r="C491" t="s">
        <v>887</v>
      </c>
      <c r="D491">
        <v>1</v>
      </c>
      <c r="E491" t="s">
        <v>95</v>
      </c>
      <c r="F491" s="2">
        <v>45956</v>
      </c>
      <c r="G491" s="3">
        <v>46235</v>
      </c>
      <c r="H491" s="20">
        <v>110.93636363636362</v>
      </c>
      <c r="I491" s="20">
        <v>160.16999999999999</v>
      </c>
      <c r="J491" s="20">
        <v>122.03</v>
      </c>
      <c r="K491" s="20">
        <v>118.37</v>
      </c>
      <c r="L491" s="23">
        <v>2.5</v>
      </c>
      <c r="M491" s="20">
        <v>2.96</v>
      </c>
      <c r="N491" s="23">
        <v>2.5</v>
      </c>
      <c r="O491" s="20">
        <v>2.96</v>
      </c>
      <c r="P491" s="20">
        <v>124.29</v>
      </c>
    </row>
    <row r="492" spans="1:16" x14ac:dyDescent="0.35">
      <c r="A492">
        <v>491</v>
      </c>
      <c r="B492" t="s">
        <v>879</v>
      </c>
      <c r="C492" t="s">
        <v>888</v>
      </c>
      <c r="D492">
        <v>11</v>
      </c>
      <c r="E492" t="s">
        <v>95</v>
      </c>
      <c r="F492" s="2">
        <v>45956</v>
      </c>
      <c r="G492" s="3">
        <v>46874</v>
      </c>
      <c r="H492" s="20">
        <v>29.227272727272723</v>
      </c>
      <c r="I492" s="20">
        <v>42.2</v>
      </c>
      <c r="J492" s="20">
        <v>32.15</v>
      </c>
      <c r="K492" s="20">
        <v>343.04</v>
      </c>
      <c r="L492" s="23">
        <v>2.5</v>
      </c>
      <c r="M492" s="20">
        <v>8.58</v>
      </c>
      <c r="N492" s="23">
        <v>2.5</v>
      </c>
      <c r="O492" s="20">
        <v>8.58</v>
      </c>
      <c r="P492" s="20">
        <v>360.2</v>
      </c>
    </row>
    <row r="493" spans="1:16" x14ac:dyDescent="0.35">
      <c r="A493">
        <v>492</v>
      </c>
      <c r="B493" t="s">
        <v>84</v>
      </c>
      <c r="C493" t="s">
        <v>94</v>
      </c>
      <c r="D493">
        <v>3</v>
      </c>
      <c r="E493" t="s">
        <v>95</v>
      </c>
      <c r="F493" s="2">
        <v>45956</v>
      </c>
      <c r="G493" s="3">
        <v>46874</v>
      </c>
      <c r="H493" s="20">
        <v>418.83636363636361</v>
      </c>
      <c r="I493" s="20">
        <v>604.69000000000005</v>
      </c>
      <c r="J493" s="20">
        <v>460.72</v>
      </c>
      <c r="K493" s="20">
        <v>1340.7</v>
      </c>
      <c r="L493" s="23">
        <v>2.5</v>
      </c>
      <c r="M493" s="20">
        <v>33.520000000000003</v>
      </c>
      <c r="N493" s="23">
        <v>2.5</v>
      </c>
      <c r="O493" s="20">
        <v>33.520000000000003</v>
      </c>
      <c r="P493" s="20">
        <v>1407.74</v>
      </c>
    </row>
    <row r="494" spans="1:16" x14ac:dyDescent="0.35">
      <c r="A494">
        <v>493</v>
      </c>
      <c r="B494" t="s">
        <v>880</v>
      </c>
      <c r="C494" t="s">
        <v>889</v>
      </c>
      <c r="D494">
        <v>4</v>
      </c>
      <c r="E494" t="s">
        <v>95</v>
      </c>
      <c r="F494" s="2">
        <v>45956</v>
      </c>
      <c r="G494" s="3">
        <v>46388</v>
      </c>
      <c r="H494" s="20">
        <v>53.25454545454545</v>
      </c>
      <c r="I494" s="20">
        <v>76.88</v>
      </c>
      <c r="J494" s="20">
        <v>58.58</v>
      </c>
      <c r="K494" s="20">
        <v>227.29</v>
      </c>
      <c r="L494" s="23">
        <v>2.5</v>
      </c>
      <c r="M494" s="20">
        <v>5.68</v>
      </c>
      <c r="N494" s="23">
        <v>2.5</v>
      </c>
      <c r="O494" s="20">
        <v>5.68</v>
      </c>
      <c r="P494" s="20">
        <v>238.65</v>
      </c>
    </row>
    <row r="495" spans="1:16" x14ac:dyDescent="0.35">
      <c r="A495">
        <v>494</v>
      </c>
      <c r="B495" t="s">
        <v>890</v>
      </c>
      <c r="C495" t="s">
        <v>891</v>
      </c>
      <c r="D495">
        <v>3</v>
      </c>
      <c r="E495" t="s">
        <v>501</v>
      </c>
      <c r="F495" s="2">
        <v>45956</v>
      </c>
      <c r="G495" s="3">
        <v>46388</v>
      </c>
      <c r="H495" s="20">
        <v>923.92727272727268</v>
      </c>
      <c r="I495" s="20">
        <v>1499</v>
      </c>
      <c r="J495" s="20">
        <v>1016.32</v>
      </c>
      <c r="K495" s="20">
        <f>P495-O495-M495</f>
        <v>2605.34</v>
      </c>
      <c r="L495" s="23">
        <v>9</v>
      </c>
      <c r="M495" s="20">
        <v>221.81</v>
      </c>
      <c r="N495" s="23">
        <v>9</v>
      </c>
      <c r="O495" s="20">
        <v>221.81</v>
      </c>
      <c r="P495" s="20">
        <v>3048.96</v>
      </c>
    </row>
    <row r="496" spans="1:16" x14ac:dyDescent="0.35">
      <c r="A496">
        <v>495</v>
      </c>
      <c r="B496" t="s">
        <v>890</v>
      </c>
      <c r="C496" t="s">
        <v>892</v>
      </c>
      <c r="D496">
        <v>2</v>
      </c>
      <c r="E496" t="s">
        <v>501</v>
      </c>
      <c r="F496" s="2">
        <v>45956</v>
      </c>
      <c r="G496" s="3">
        <v>46478</v>
      </c>
      <c r="H496" s="20">
        <v>923.92727272727268</v>
      </c>
      <c r="I496" s="20">
        <v>1499</v>
      </c>
      <c r="J496" s="20">
        <v>1016.32</v>
      </c>
      <c r="K496" s="20">
        <f>P496-O496-M496</f>
        <v>1589.0200000000002</v>
      </c>
      <c r="L496" s="23">
        <v>9</v>
      </c>
      <c r="M496" s="20">
        <v>221.81</v>
      </c>
      <c r="N496" s="23">
        <v>9</v>
      </c>
      <c r="O496" s="20">
        <v>221.81</v>
      </c>
      <c r="P496" s="20">
        <v>2032.64</v>
      </c>
    </row>
    <row r="497" spans="1:16" x14ac:dyDescent="0.35">
      <c r="A497">
        <v>496</v>
      </c>
      <c r="B497" t="s">
        <v>893</v>
      </c>
      <c r="C497" t="s">
        <v>894</v>
      </c>
      <c r="D497">
        <v>50</v>
      </c>
      <c r="E497" t="s">
        <v>141</v>
      </c>
      <c r="F497" s="2">
        <v>45957</v>
      </c>
      <c r="G497" s="3">
        <v>46508</v>
      </c>
      <c r="H497" s="20">
        <v>188.30909090909088</v>
      </c>
      <c r="I497" s="20">
        <v>271.88</v>
      </c>
      <c r="J497" s="20">
        <v>207.14</v>
      </c>
      <c r="K497" s="20">
        <f>P497-O497-M497</f>
        <v>10046.290000000001</v>
      </c>
      <c r="L497" s="23">
        <v>2.5</v>
      </c>
      <c r="M497" s="20">
        <v>251.16</v>
      </c>
      <c r="N497" s="23">
        <v>2.5</v>
      </c>
      <c r="O497" s="20">
        <v>251.16</v>
      </c>
      <c r="P497" s="20">
        <v>10548.61</v>
      </c>
    </row>
    <row r="498" spans="1:16" x14ac:dyDescent="0.35">
      <c r="A498">
        <v>497</v>
      </c>
      <c r="B498" t="s">
        <v>137</v>
      </c>
      <c r="C498" t="s">
        <v>895</v>
      </c>
      <c r="D498">
        <v>5</v>
      </c>
      <c r="E498" t="s">
        <v>141</v>
      </c>
      <c r="F498" s="2">
        <v>45957</v>
      </c>
      <c r="G498" s="3">
        <v>46569</v>
      </c>
      <c r="H498" s="20">
        <v>616.88181818181818</v>
      </c>
      <c r="I498" s="20">
        <v>890.62</v>
      </c>
      <c r="J498" s="20">
        <v>678.57</v>
      </c>
      <c r="K498" s="20">
        <f>P498-O498-M498</f>
        <v>3291.0599999999995</v>
      </c>
      <c r="L498" s="23">
        <v>2.5</v>
      </c>
      <c r="M498" s="20">
        <v>82.28</v>
      </c>
      <c r="N498" s="23">
        <v>2.5</v>
      </c>
      <c r="O498" s="20">
        <v>82.28</v>
      </c>
      <c r="P498" s="20">
        <v>3455.62</v>
      </c>
    </row>
    <row r="499" spans="1:16" x14ac:dyDescent="0.35">
      <c r="A499">
        <v>498</v>
      </c>
      <c r="B499" t="s">
        <v>896</v>
      </c>
      <c r="C499" t="s">
        <v>910</v>
      </c>
      <c r="D499">
        <v>1</v>
      </c>
      <c r="E499" t="s">
        <v>95</v>
      </c>
      <c r="F499" s="2">
        <v>45957</v>
      </c>
      <c r="G499" s="3">
        <v>46447</v>
      </c>
      <c r="H499" s="20">
        <v>334.0454545454545</v>
      </c>
      <c r="I499" s="20">
        <v>482.28</v>
      </c>
      <c r="J499" s="20">
        <v>367.45</v>
      </c>
      <c r="K499" s="20">
        <v>356.43</v>
      </c>
      <c r="L499" s="23">
        <v>2.5</v>
      </c>
      <c r="M499" s="20">
        <v>8.91</v>
      </c>
      <c r="N499" s="23">
        <v>2.5</v>
      </c>
      <c r="O499" s="20">
        <v>8.91</v>
      </c>
      <c r="P499" s="20">
        <v>374.25</v>
      </c>
    </row>
    <row r="500" spans="1:16" x14ac:dyDescent="0.35">
      <c r="A500">
        <v>499</v>
      </c>
      <c r="B500" t="s">
        <v>897</v>
      </c>
      <c r="C500" t="s">
        <v>911</v>
      </c>
      <c r="D500">
        <v>2</v>
      </c>
      <c r="E500" t="s">
        <v>95</v>
      </c>
      <c r="F500" s="2">
        <v>45957</v>
      </c>
      <c r="G500" s="3">
        <v>46478</v>
      </c>
      <c r="H500" s="20">
        <v>646.1</v>
      </c>
      <c r="I500" s="20">
        <v>932.81</v>
      </c>
      <c r="J500" s="20">
        <v>710.71</v>
      </c>
      <c r="K500" s="20">
        <v>1378.78</v>
      </c>
      <c r="L500" s="23">
        <v>2.5</v>
      </c>
      <c r="M500" s="20">
        <v>34.47</v>
      </c>
      <c r="N500" s="23">
        <v>2.5</v>
      </c>
      <c r="O500" s="20">
        <v>34.47</v>
      </c>
      <c r="P500" s="20">
        <v>1447.72</v>
      </c>
    </row>
    <row r="501" spans="1:16" x14ac:dyDescent="0.35">
      <c r="A501">
        <v>500</v>
      </c>
      <c r="B501" t="s">
        <v>12</v>
      </c>
      <c r="C501" t="s">
        <v>912</v>
      </c>
      <c r="D501">
        <v>1</v>
      </c>
      <c r="E501" t="s">
        <v>95</v>
      </c>
      <c r="F501" s="2">
        <v>45957</v>
      </c>
      <c r="G501" s="3">
        <v>46478</v>
      </c>
      <c r="H501" s="20">
        <v>155.31818181818181</v>
      </c>
      <c r="I501" s="20">
        <v>252</v>
      </c>
      <c r="J501" s="20">
        <v>170.85</v>
      </c>
      <c r="K501" s="20">
        <v>165.72</v>
      </c>
      <c r="L501" s="23">
        <v>9</v>
      </c>
      <c r="M501" s="20">
        <v>14.91</v>
      </c>
      <c r="N501" s="23">
        <v>9</v>
      </c>
      <c r="O501" s="20">
        <v>14.91</v>
      </c>
      <c r="P501" s="20">
        <v>195.54</v>
      </c>
    </row>
    <row r="502" spans="1:16" x14ac:dyDescent="0.35">
      <c r="A502">
        <v>501</v>
      </c>
      <c r="B502" t="s">
        <v>898</v>
      </c>
      <c r="C502" t="s">
        <v>913</v>
      </c>
      <c r="D502">
        <v>1</v>
      </c>
      <c r="E502" t="s">
        <v>95</v>
      </c>
      <c r="F502" s="2">
        <v>45957</v>
      </c>
      <c r="G502" s="3">
        <v>46539</v>
      </c>
      <c r="H502" s="20">
        <v>181.17272727272726</v>
      </c>
      <c r="I502" s="20">
        <v>261.57</v>
      </c>
      <c r="J502" s="20">
        <v>199.29</v>
      </c>
      <c r="K502" s="20">
        <v>193.31</v>
      </c>
      <c r="L502" s="23">
        <v>2.5</v>
      </c>
      <c r="M502" s="20">
        <v>4.83</v>
      </c>
      <c r="N502" s="23">
        <v>2.5</v>
      </c>
      <c r="O502" s="20">
        <v>4.83</v>
      </c>
      <c r="P502" s="20">
        <v>202.97</v>
      </c>
    </row>
    <row r="503" spans="1:16" x14ac:dyDescent="0.35">
      <c r="A503">
        <v>502</v>
      </c>
      <c r="B503" t="s">
        <v>899</v>
      </c>
      <c r="C503" s="4">
        <v>48020478</v>
      </c>
      <c r="D503">
        <v>2</v>
      </c>
      <c r="E503" t="s">
        <v>95</v>
      </c>
      <c r="F503" s="2">
        <v>45957</v>
      </c>
      <c r="G503" s="3">
        <v>46569</v>
      </c>
      <c r="H503" s="20">
        <v>98.381818181818176</v>
      </c>
      <c r="I503" s="20">
        <v>142.03</v>
      </c>
      <c r="J503" s="20">
        <v>108.22</v>
      </c>
      <c r="K503" s="20">
        <v>209.95</v>
      </c>
      <c r="L503" s="23">
        <v>2.5</v>
      </c>
      <c r="M503" s="20">
        <v>5.25</v>
      </c>
      <c r="N503" s="23">
        <v>2.5</v>
      </c>
      <c r="O503" s="20">
        <v>5.25</v>
      </c>
      <c r="P503" s="20">
        <v>220.45</v>
      </c>
    </row>
    <row r="504" spans="1:16" x14ac:dyDescent="0.35">
      <c r="A504">
        <v>503</v>
      </c>
      <c r="B504" t="s">
        <v>900</v>
      </c>
      <c r="C504" s="4">
        <v>25442969</v>
      </c>
      <c r="D504">
        <v>4</v>
      </c>
      <c r="E504" t="s">
        <v>95</v>
      </c>
      <c r="F504" s="2">
        <v>45957</v>
      </c>
      <c r="G504" s="3">
        <v>46569</v>
      </c>
      <c r="H504" s="20">
        <v>240.24545454545452</v>
      </c>
      <c r="I504" s="20">
        <v>346.85</v>
      </c>
      <c r="J504" s="20">
        <v>264.27</v>
      </c>
      <c r="K504" s="20">
        <v>1025.3699999999999</v>
      </c>
      <c r="L504" s="23">
        <v>2.5</v>
      </c>
      <c r="M504" s="20">
        <v>25.63</v>
      </c>
      <c r="N504" s="23">
        <v>2.5</v>
      </c>
      <c r="O504" s="20">
        <v>25.63</v>
      </c>
      <c r="P504" s="20">
        <v>1076.6300000000001</v>
      </c>
    </row>
    <row r="505" spans="1:16" x14ac:dyDescent="0.35">
      <c r="A505">
        <v>504</v>
      </c>
      <c r="B505" t="s">
        <v>901</v>
      </c>
      <c r="C505" t="s">
        <v>914</v>
      </c>
      <c r="D505">
        <v>1</v>
      </c>
      <c r="E505" t="s">
        <v>95</v>
      </c>
      <c r="F505" s="2">
        <v>45957</v>
      </c>
      <c r="G505" s="3">
        <v>46539</v>
      </c>
      <c r="H505" s="20">
        <v>143.11818181818182</v>
      </c>
      <c r="I505" s="20">
        <v>206.63</v>
      </c>
      <c r="J505" s="20">
        <v>157.43</v>
      </c>
      <c r="K505" s="20">
        <v>152.71</v>
      </c>
      <c r="L505" s="23">
        <v>2.5</v>
      </c>
      <c r="M505" s="20">
        <v>3.82</v>
      </c>
      <c r="N505" s="23">
        <v>2.5</v>
      </c>
      <c r="O505" s="20">
        <v>3.82</v>
      </c>
      <c r="P505" s="20">
        <v>160.35</v>
      </c>
    </row>
    <row r="506" spans="1:16" x14ac:dyDescent="0.35">
      <c r="A506">
        <v>505</v>
      </c>
      <c r="B506" t="s">
        <v>902</v>
      </c>
      <c r="C506" t="s">
        <v>915</v>
      </c>
      <c r="D506">
        <v>2</v>
      </c>
      <c r="E506" t="s">
        <v>95</v>
      </c>
      <c r="F506" s="2">
        <v>45957</v>
      </c>
      <c r="G506" s="3">
        <v>46266</v>
      </c>
      <c r="H506" s="20">
        <v>225.16363636363636</v>
      </c>
      <c r="I506" s="20">
        <v>325.08</v>
      </c>
      <c r="J506" s="20">
        <v>247.68</v>
      </c>
      <c r="K506" s="20">
        <v>480.5</v>
      </c>
      <c r="L506" s="23">
        <v>2.5</v>
      </c>
      <c r="M506" s="20">
        <v>12.01</v>
      </c>
      <c r="N506" s="23">
        <v>2.5</v>
      </c>
      <c r="O506" s="20">
        <v>12.01</v>
      </c>
      <c r="P506" s="20">
        <v>504.52</v>
      </c>
    </row>
    <row r="507" spans="1:16" x14ac:dyDescent="0.35">
      <c r="A507">
        <v>506</v>
      </c>
      <c r="B507" t="s">
        <v>903</v>
      </c>
      <c r="C507" t="s">
        <v>916</v>
      </c>
      <c r="D507">
        <v>7</v>
      </c>
      <c r="E507" t="s">
        <v>95</v>
      </c>
      <c r="F507" s="2">
        <v>45957</v>
      </c>
      <c r="G507" s="3">
        <v>46419</v>
      </c>
      <c r="H507" s="20">
        <v>80.645454545454527</v>
      </c>
      <c r="I507" s="20">
        <v>116.43</v>
      </c>
      <c r="J507" s="20">
        <v>88.71</v>
      </c>
      <c r="K507" s="20">
        <v>563.62</v>
      </c>
      <c r="L507" s="23">
        <v>2.5</v>
      </c>
      <c r="M507" s="20">
        <v>14.09</v>
      </c>
      <c r="N507" s="23">
        <v>2.5</v>
      </c>
      <c r="O507" s="20">
        <v>14.09</v>
      </c>
      <c r="P507" s="20">
        <v>591.79999999999995</v>
      </c>
    </row>
    <row r="508" spans="1:16" x14ac:dyDescent="0.35">
      <c r="A508">
        <v>507</v>
      </c>
      <c r="B508" t="s">
        <v>904</v>
      </c>
      <c r="C508" t="s">
        <v>917</v>
      </c>
      <c r="D508">
        <v>5</v>
      </c>
      <c r="E508" t="s">
        <v>95</v>
      </c>
      <c r="F508" s="2">
        <v>45957</v>
      </c>
      <c r="G508" s="3">
        <v>46388</v>
      </c>
      <c r="H508" s="20">
        <v>67.718181818181804</v>
      </c>
      <c r="I508" s="20">
        <v>97.77</v>
      </c>
      <c r="J508" s="20">
        <v>74.489999999999995</v>
      </c>
      <c r="K508" s="20">
        <v>325.14</v>
      </c>
      <c r="L508" s="23">
        <v>2.5</v>
      </c>
      <c r="M508" s="20">
        <v>8.1300000000000008</v>
      </c>
      <c r="N508" s="23">
        <v>2.5</v>
      </c>
      <c r="O508" s="20">
        <v>8.1300000000000008</v>
      </c>
      <c r="P508" s="20">
        <v>341.4</v>
      </c>
    </row>
    <row r="509" spans="1:16" x14ac:dyDescent="0.35">
      <c r="A509">
        <v>508</v>
      </c>
      <c r="B509" t="s">
        <v>905</v>
      </c>
      <c r="C509" t="s">
        <v>918</v>
      </c>
      <c r="D509">
        <v>1</v>
      </c>
      <c r="E509" t="s">
        <v>95</v>
      </c>
      <c r="F509" s="2">
        <v>45957</v>
      </c>
      <c r="G509" s="3">
        <v>46631</v>
      </c>
      <c r="H509" s="20">
        <v>307.5545454545454</v>
      </c>
      <c r="I509" s="20">
        <v>499</v>
      </c>
      <c r="J509" s="20">
        <v>338.31</v>
      </c>
      <c r="K509" s="20">
        <v>328.16</v>
      </c>
      <c r="L509" s="23">
        <v>9</v>
      </c>
      <c r="M509" s="20">
        <v>29.53</v>
      </c>
      <c r="N509" s="23">
        <v>9</v>
      </c>
      <c r="O509" s="20">
        <v>29.53</v>
      </c>
      <c r="P509" s="20">
        <v>387.22</v>
      </c>
    </row>
    <row r="510" spans="1:16" x14ac:dyDescent="0.35">
      <c r="A510">
        <v>509</v>
      </c>
      <c r="B510" t="s">
        <v>906</v>
      </c>
      <c r="C510" t="s">
        <v>919</v>
      </c>
      <c r="D510">
        <v>1</v>
      </c>
      <c r="E510" t="s">
        <v>95</v>
      </c>
      <c r="F510" s="2">
        <v>45957</v>
      </c>
      <c r="G510" s="3">
        <v>46844</v>
      </c>
      <c r="H510" s="20">
        <v>91.236363636363635</v>
      </c>
      <c r="I510" s="20">
        <v>131.72</v>
      </c>
      <c r="J510" s="20">
        <v>100.36</v>
      </c>
      <c r="K510" s="20">
        <v>97.35</v>
      </c>
      <c r="L510" s="23">
        <v>2.5</v>
      </c>
      <c r="M510" s="20">
        <v>2.4300000000000002</v>
      </c>
      <c r="N510" s="23">
        <v>2.5</v>
      </c>
      <c r="O510" s="20">
        <v>2.4300000000000002</v>
      </c>
      <c r="P510" s="20">
        <v>102.21</v>
      </c>
    </row>
    <row r="511" spans="1:16" x14ac:dyDescent="0.35">
      <c r="A511">
        <v>510</v>
      </c>
      <c r="B511" t="s">
        <v>907</v>
      </c>
      <c r="C511" t="s">
        <v>628</v>
      </c>
      <c r="D511">
        <v>5</v>
      </c>
      <c r="E511" t="s">
        <v>95</v>
      </c>
      <c r="F511" s="2">
        <v>45957</v>
      </c>
      <c r="G511" s="3">
        <v>46569</v>
      </c>
      <c r="H511" s="20">
        <v>411.86363636363632</v>
      </c>
      <c r="I511" s="20">
        <v>650</v>
      </c>
      <c r="J511" s="20">
        <v>453.05</v>
      </c>
      <c r="K511" s="20">
        <v>2197.29</v>
      </c>
      <c r="L511" s="23">
        <v>9</v>
      </c>
      <c r="M511" s="20">
        <v>197.76</v>
      </c>
      <c r="N511" s="23">
        <v>9</v>
      </c>
      <c r="O511" s="20">
        <v>197.76</v>
      </c>
      <c r="P511" s="20">
        <v>2592.81</v>
      </c>
    </row>
    <row r="512" spans="1:16" x14ac:dyDescent="0.35">
      <c r="A512">
        <v>511</v>
      </c>
      <c r="B512" t="s">
        <v>908</v>
      </c>
      <c r="C512" t="s">
        <v>920</v>
      </c>
      <c r="D512">
        <v>2</v>
      </c>
      <c r="E512" t="s">
        <v>95</v>
      </c>
      <c r="F512" s="2">
        <v>45957</v>
      </c>
      <c r="G512" s="3">
        <v>46661</v>
      </c>
      <c r="H512" s="20">
        <v>56.836363636363636</v>
      </c>
      <c r="I512" s="20">
        <v>82.06</v>
      </c>
      <c r="J512" s="20">
        <v>62.52</v>
      </c>
      <c r="K512" s="20">
        <v>121.29</v>
      </c>
      <c r="L512" s="23">
        <v>2.5</v>
      </c>
      <c r="M512" s="20">
        <v>3.03</v>
      </c>
      <c r="N512" s="23">
        <v>2.5</v>
      </c>
      <c r="O512" s="20">
        <v>3.03</v>
      </c>
      <c r="P512" s="20">
        <v>127.36</v>
      </c>
    </row>
    <row r="513" spans="1:16" x14ac:dyDescent="0.35">
      <c r="A513">
        <v>512</v>
      </c>
      <c r="B513" t="s">
        <v>909</v>
      </c>
      <c r="C513" t="s">
        <v>921</v>
      </c>
      <c r="D513">
        <v>1</v>
      </c>
      <c r="E513" t="s">
        <v>95</v>
      </c>
      <c r="F513" s="2">
        <v>45957</v>
      </c>
      <c r="G513" s="3">
        <v>46478</v>
      </c>
      <c r="H513" s="20">
        <v>133.44545454545454</v>
      </c>
      <c r="I513" s="20">
        <v>192.66</v>
      </c>
      <c r="J513" s="20">
        <v>146.79</v>
      </c>
      <c r="K513" s="20">
        <v>142.38999999999999</v>
      </c>
      <c r="L513" s="23">
        <v>2.5</v>
      </c>
      <c r="M513" s="20">
        <v>3.56</v>
      </c>
      <c r="N513" s="23">
        <v>2.5</v>
      </c>
      <c r="O513" s="20">
        <v>3.56</v>
      </c>
      <c r="P513" s="20">
        <v>149.51</v>
      </c>
    </row>
    <row r="514" spans="1:16" x14ac:dyDescent="0.35">
      <c r="A514">
        <v>513</v>
      </c>
      <c r="B514" t="s">
        <v>803</v>
      </c>
      <c r="C514" t="s">
        <v>931</v>
      </c>
      <c r="D514">
        <v>3</v>
      </c>
      <c r="E514" t="s">
        <v>95</v>
      </c>
      <c r="F514" s="2">
        <v>45958</v>
      </c>
      <c r="G514" s="3">
        <v>46478</v>
      </c>
      <c r="H514" s="20">
        <v>334.41818181818178</v>
      </c>
      <c r="I514" s="20">
        <v>482.81</v>
      </c>
      <c r="J514" s="20">
        <v>367.86</v>
      </c>
      <c r="K514" s="20">
        <v>1070.47</v>
      </c>
      <c r="L514" s="23">
        <v>2.5</v>
      </c>
      <c r="M514" s="20">
        <v>26.76</v>
      </c>
      <c r="N514" s="23">
        <v>2.5</v>
      </c>
      <c r="O514" s="20">
        <v>26.76</v>
      </c>
      <c r="P514" s="20">
        <v>1123.99</v>
      </c>
    </row>
    <row r="515" spans="1:16" x14ac:dyDescent="0.35">
      <c r="A515">
        <v>514</v>
      </c>
      <c r="B515" t="s">
        <v>922</v>
      </c>
      <c r="C515" t="s">
        <v>932</v>
      </c>
      <c r="D515">
        <v>2</v>
      </c>
      <c r="E515" t="s">
        <v>95</v>
      </c>
      <c r="F515" s="2">
        <v>45958</v>
      </c>
      <c r="G515" s="3">
        <v>46539</v>
      </c>
      <c r="H515" s="20">
        <v>139.6090909090909</v>
      </c>
      <c r="I515" s="20">
        <v>201.56</v>
      </c>
      <c r="J515" s="20">
        <v>153.57</v>
      </c>
      <c r="K515" s="20">
        <v>297.93</v>
      </c>
      <c r="L515" s="23">
        <v>2.5</v>
      </c>
      <c r="M515" s="20">
        <v>7.45</v>
      </c>
      <c r="N515" s="23">
        <v>2.5</v>
      </c>
      <c r="O515" s="20">
        <v>7.45</v>
      </c>
      <c r="P515" s="20">
        <v>312.83</v>
      </c>
    </row>
    <row r="516" spans="1:16" x14ac:dyDescent="0.35">
      <c r="A516">
        <v>515</v>
      </c>
      <c r="B516" t="s">
        <v>154</v>
      </c>
      <c r="C516" t="s">
        <v>933</v>
      </c>
      <c r="D516">
        <v>6</v>
      </c>
      <c r="E516" t="s">
        <v>95</v>
      </c>
      <c r="F516" s="2">
        <v>45958</v>
      </c>
      <c r="G516" s="3">
        <v>46508</v>
      </c>
      <c r="H516" s="20">
        <v>141.76363636363635</v>
      </c>
      <c r="I516" s="20">
        <v>204.67</v>
      </c>
      <c r="J516" s="20">
        <v>155.94</v>
      </c>
      <c r="K516" s="20">
        <v>907.57</v>
      </c>
      <c r="L516" s="23">
        <v>2.5</v>
      </c>
      <c r="M516" s="20">
        <v>22.69</v>
      </c>
      <c r="N516" s="23">
        <v>2.5</v>
      </c>
      <c r="O516" s="20">
        <v>22.69</v>
      </c>
      <c r="P516" s="20">
        <v>952.95</v>
      </c>
    </row>
    <row r="517" spans="1:16" x14ac:dyDescent="0.35">
      <c r="A517">
        <v>516</v>
      </c>
      <c r="B517" t="s">
        <v>923</v>
      </c>
      <c r="C517" t="s">
        <v>934</v>
      </c>
      <c r="D517">
        <v>2</v>
      </c>
      <c r="E517" t="s">
        <v>95</v>
      </c>
      <c r="F517" s="2">
        <v>45958</v>
      </c>
      <c r="G517" s="3">
        <v>46478</v>
      </c>
      <c r="H517" s="20">
        <v>159.09090909090907</v>
      </c>
      <c r="I517" s="20">
        <v>229.69</v>
      </c>
      <c r="J517" s="20">
        <v>175</v>
      </c>
      <c r="K517" s="20">
        <v>339.5</v>
      </c>
      <c r="L517" s="23">
        <v>2.5</v>
      </c>
      <c r="M517" s="20">
        <v>8.49</v>
      </c>
      <c r="N517" s="23">
        <v>2.5</v>
      </c>
      <c r="O517" s="20">
        <v>8.49</v>
      </c>
      <c r="P517" s="20">
        <v>356.48</v>
      </c>
    </row>
    <row r="518" spans="1:16" x14ac:dyDescent="0.35">
      <c r="A518">
        <v>517</v>
      </c>
      <c r="B518" t="s">
        <v>924</v>
      </c>
      <c r="C518" t="s">
        <v>935</v>
      </c>
      <c r="D518">
        <v>2</v>
      </c>
      <c r="E518" t="s">
        <v>95</v>
      </c>
      <c r="F518" s="2">
        <v>45958</v>
      </c>
      <c r="G518" s="3">
        <v>46508</v>
      </c>
      <c r="H518" s="20">
        <v>59.736363636363627</v>
      </c>
      <c r="I518" s="20">
        <v>86.25</v>
      </c>
      <c r="J518" s="20">
        <v>65.709999999999994</v>
      </c>
      <c r="K518" s="20">
        <v>127.48</v>
      </c>
      <c r="L518" s="23">
        <v>2.5</v>
      </c>
      <c r="M518" s="20">
        <v>3.19</v>
      </c>
      <c r="N518" s="23">
        <v>2.5</v>
      </c>
      <c r="O518" s="20">
        <v>3.19</v>
      </c>
      <c r="P518" s="20">
        <v>133.86000000000001</v>
      </c>
    </row>
    <row r="519" spans="1:16" x14ac:dyDescent="0.35">
      <c r="A519">
        <v>518</v>
      </c>
      <c r="B519" t="s">
        <v>925</v>
      </c>
      <c r="C519" t="s">
        <v>936</v>
      </c>
      <c r="D519">
        <v>1</v>
      </c>
      <c r="E519" t="s">
        <v>95</v>
      </c>
      <c r="F519" s="2">
        <v>45958</v>
      </c>
      <c r="G519" s="3">
        <v>46539</v>
      </c>
      <c r="H519" s="20">
        <v>165.58181818181816</v>
      </c>
      <c r="I519" s="20">
        <v>239.06</v>
      </c>
      <c r="J519" s="20">
        <v>182.14</v>
      </c>
      <c r="K519" s="20">
        <v>176.68</v>
      </c>
      <c r="L519" s="23">
        <v>2.5</v>
      </c>
      <c r="M519" s="20">
        <v>4.42</v>
      </c>
      <c r="N519" s="23">
        <v>2.5</v>
      </c>
      <c r="O519" s="20">
        <v>4.42</v>
      </c>
      <c r="P519" s="20">
        <v>185.52</v>
      </c>
    </row>
    <row r="520" spans="1:16" x14ac:dyDescent="0.35">
      <c r="A520">
        <v>519</v>
      </c>
      <c r="B520" t="s">
        <v>926</v>
      </c>
      <c r="C520" t="s">
        <v>937</v>
      </c>
      <c r="D520">
        <v>1</v>
      </c>
      <c r="E520" t="s">
        <v>95</v>
      </c>
      <c r="F520" s="2">
        <v>45958</v>
      </c>
      <c r="G520" s="3">
        <v>46419</v>
      </c>
      <c r="H520" s="20">
        <v>850.80909090909086</v>
      </c>
      <c r="I520" s="20">
        <v>1228.3499999999999</v>
      </c>
      <c r="J520" s="20">
        <v>935.89</v>
      </c>
      <c r="K520" s="20">
        <v>907.81</v>
      </c>
      <c r="L520" s="23">
        <v>2.5</v>
      </c>
      <c r="M520" s="20">
        <v>22.7</v>
      </c>
      <c r="N520" s="23">
        <v>2.5</v>
      </c>
      <c r="O520" s="20">
        <v>22.7</v>
      </c>
      <c r="P520" s="20">
        <v>953.21</v>
      </c>
    </row>
    <row r="521" spans="1:16" x14ac:dyDescent="0.35">
      <c r="A521">
        <v>520</v>
      </c>
      <c r="B521" t="s">
        <v>927</v>
      </c>
      <c r="C521" t="s">
        <v>938</v>
      </c>
      <c r="D521">
        <v>3</v>
      </c>
      <c r="E521" t="s">
        <v>95</v>
      </c>
      <c r="F521" s="2">
        <v>45958</v>
      </c>
      <c r="G521" s="3">
        <v>46419</v>
      </c>
      <c r="H521" s="20">
        <v>118.71818181818182</v>
      </c>
      <c r="I521" s="20">
        <v>171.4</v>
      </c>
      <c r="J521" s="20">
        <v>130.59</v>
      </c>
      <c r="K521" s="20">
        <v>380.02</v>
      </c>
      <c r="L521" s="23">
        <v>2.5</v>
      </c>
      <c r="M521" s="20">
        <v>9.5</v>
      </c>
      <c r="N521" s="23">
        <v>2.5</v>
      </c>
      <c r="O521" s="20">
        <v>9.5</v>
      </c>
      <c r="P521" s="20">
        <v>399.02</v>
      </c>
    </row>
    <row r="522" spans="1:16" x14ac:dyDescent="0.35">
      <c r="A522">
        <v>521</v>
      </c>
      <c r="B522" t="s">
        <v>234</v>
      </c>
      <c r="C522" t="s">
        <v>939</v>
      </c>
      <c r="D522">
        <v>3</v>
      </c>
      <c r="E522" t="s">
        <v>95</v>
      </c>
      <c r="F522" s="2">
        <v>45958</v>
      </c>
      <c r="G522" s="3">
        <v>46905</v>
      </c>
      <c r="H522" s="20">
        <v>122.03636363636363</v>
      </c>
      <c r="I522" s="20">
        <v>176.19</v>
      </c>
      <c r="J522" s="20">
        <v>134.24</v>
      </c>
      <c r="K522" s="20">
        <v>290.64</v>
      </c>
      <c r="L522" s="23">
        <v>2.5</v>
      </c>
      <c r="M522" s="20">
        <v>9.77</v>
      </c>
      <c r="N522" s="23">
        <v>2.5</v>
      </c>
      <c r="O522" s="20">
        <v>9.77</v>
      </c>
      <c r="P522" s="20">
        <v>410.18</v>
      </c>
    </row>
    <row r="523" spans="1:16" x14ac:dyDescent="0.35">
      <c r="A523">
        <v>522</v>
      </c>
      <c r="B523" t="s">
        <v>928</v>
      </c>
      <c r="C523" t="s">
        <v>940</v>
      </c>
      <c r="D523">
        <v>1</v>
      </c>
      <c r="E523" t="s">
        <v>95</v>
      </c>
      <c r="F523" s="2">
        <v>45958</v>
      </c>
      <c r="G523" s="3">
        <v>46539</v>
      </c>
      <c r="H523" s="20">
        <v>416.0272727272727</v>
      </c>
      <c r="I523" s="20">
        <v>600.64</v>
      </c>
      <c r="J523" s="20">
        <v>457.63</v>
      </c>
      <c r="K523" s="20">
        <v>443.9</v>
      </c>
      <c r="L523" s="23">
        <v>2.5</v>
      </c>
      <c r="M523" s="20">
        <v>11.1</v>
      </c>
      <c r="N523" s="23">
        <v>2.5</v>
      </c>
      <c r="O523" s="20">
        <v>11.1</v>
      </c>
      <c r="P523" s="20">
        <v>466.1</v>
      </c>
    </row>
    <row r="524" spans="1:16" x14ac:dyDescent="0.35">
      <c r="A524">
        <v>523</v>
      </c>
      <c r="B524" t="s">
        <v>188</v>
      </c>
      <c r="C524" t="s">
        <v>192</v>
      </c>
      <c r="D524">
        <v>5</v>
      </c>
      <c r="E524" t="s">
        <v>95</v>
      </c>
      <c r="F524" s="2">
        <v>45958</v>
      </c>
      <c r="G524" s="3">
        <v>46508</v>
      </c>
      <c r="H524" s="20">
        <v>72.545454545454533</v>
      </c>
      <c r="I524" s="20">
        <v>102</v>
      </c>
      <c r="J524" s="20">
        <v>79.8</v>
      </c>
      <c r="K524" s="20">
        <v>387.03</v>
      </c>
      <c r="L524" s="23">
        <v>2.5</v>
      </c>
      <c r="M524" s="20">
        <v>9.68</v>
      </c>
      <c r="N524" s="23">
        <v>2.5</v>
      </c>
      <c r="O524" s="20">
        <v>9.68</v>
      </c>
      <c r="P524" s="20">
        <v>406.39</v>
      </c>
    </row>
    <row r="525" spans="1:16" x14ac:dyDescent="0.35">
      <c r="A525">
        <v>524</v>
      </c>
      <c r="B525" t="s">
        <v>929</v>
      </c>
      <c r="C525" t="s">
        <v>941</v>
      </c>
      <c r="D525">
        <v>5</v>
      </c>
      <c r="E525" t="s">
        <v>95</v>
      </c>
      <c r="F525" s="2">
        <v>45958</v>
      </c>
      <c r="G525" s="3">
        <v>46874</v>
      </c>
      <c r="H525" s="20">
        <v>27.518181818181816</v>
      </c>
      <c r="I525" s="20">
        <v>39.729999999999997</v>
      </c>
      <c r="J525" s="20">
        <v>30.27</v>
      </c>
      <c r="K525" s="20">
        <v>146.81</v>
      </c>
      <c r="L525" s="23">
        <v>2.5</v>
      </c>
      <c r="M525" s="20">
        <v>3.67</v>
      </c>
      <c r="N525" s="23">
        <v>2.5</v>
      </c>
      <c r="O525" s="20">
        <v>3.67</v>
      </c>
      <c r="P525" s="20">
        <v>154.15</v>
      </c>
    </row>
    <row r="526" spans="1:16" x14ac:dyDescent="0.35">
      <c r="A526">
        <v>525</v>
      </c>
      <c r="B526" t="s">
        <v>930</v>
      </c>
      <c r="C526" t="s">
        <v>942</v>
      </c>
      <c r="D526">
        <v>1</v>
      </c>
      <c r="E526" t="s">
        <v>95</v>
      </c>
      <c r="F526" s="2">
        <v>45958</v>
      </c>
      <c r="G526" s="3">
        <v>46478</v>
      </c>
      <c r="H526" s="20">
        <v>224.0272727272727</v>
      </c>
      <c r="I526" s="20">
        <v>323.44</v>
      </c>
      <c r="J526" s="20">
        <v>246.43</v>
      </c>
      <c r="K526" s="20">
        <v>239.04</v>
      </c>
      <c r="L526" s="23">
        <v>2.5</v>
      </c>
      <c r="M526" s="20">
        <v>5.98</v>
      </c>
      <c r="N526" s="23">
        <v>2.5</v>
      </c>
      <c r="O526" s="20">
        <v>5.98</v>
      </c>
      <c r="P526" s="20">
        <v>251</v>
      </c>
    </row>
    <row r="527" spans="1:16" x14ac:dyDescent="0.35">
      <c r="A527">
        <v>526</v>
      </c>
      <c r="B527" t="s">
        <v>84</v>
      </c>
      <c r="C527" t="s">
        <v>943</v>
      </c>
      <c r="D527">
        <v>2</v>
      </c>
      <c r="E527" t="s">
        <v>95</v>
      </c>
      <c r="F527" s="2">
        <v>45958</v>
      </c>
      <c r="G527" s="3">
        <v>46905</v>
      </c>
      <c r="H527" s="20">
        <v>418.83636363636361</v>
      </c>
      <c r="I527" s="20">
        <v>504.69</v>
      </c>
      <c r="J527" s="20">
        <v>460.72</v>
      </c>
      <c r="K527" s="20">
        <v>893.8</v>
      </c>
      <c r="L527" s="23">
        <v>2.5</v>
      </c>
      <c r="M527" s="20">
        <v>22.35</v>
      </c>
      <c r="N527" s="23">
        <v>2.5</v>
      </c>
      <c r="O527" s="20">
        <v>22.35</v>
      </c>
      <c r="P527" s="20">
        <v>938.5</v>
      </c>
    </row>
    <row r="528" spans="1:16" x14ac:dyDescent="0.35">
      <c r="A528">
        <v>527</v>
      </c>
      <c r="B528" t="s">
        <v>944</v>
      </c>
      <c r="C528" t="s">
        <v>945</v>
      </c>
      <c r="D528">
        <v>3</v>
      </c>
      <c r="E528" t="s">
        <v>501</v>
      </c>
      <c r="F528" s="2">
        <v>45958</v>
      </c>
      <c r="G528" s="3">
        <v>46296</v>
      </c>
      <c r="H528" s="20">
        <v>923.92727272727268</v>
      </c>
      <c r="I528" s="20">
        <v>1499</v>
      </c>
      <c r="J528" s="20">
        <v>1016.32</v>
      </c>
      <c r="K528" s="20">
        <f>P528-O528-M528</f>
        <v>2500.1400000000003</v>
      </c>
      <c r="L528" s="23">
        <v>9</v>
      </c>
      <c r="M528" s="20">
        <v>274.41000000000003</v>
      </c>
      <c r="N528" s="23">
        <v>9</v>
      </c>
      <c r="O528" s="20">
        <v>274.41000000000003</v>
      </c>
      <c r="P528" s="20">
        <v>3048.96</v>
      </c>
    </row>
    <row r="529" spans="1:16" x14ac:dyDescent="0.35">
      <c r="A529">
        <v>528</v>
      </c>
      <c r="B529" t="s">
        <v>944</v>
      </c>
      <c r="C529" t="s">
        <v>891</v>
      </c>
      <c r="D529">
        <v>7</v>
      </c>
      <c r="E529" t="s">
        <v>501</v>
      </c>
      <c r="F529" s="2">
        <v>45958</v>
      </c>
      <c r="G529" s="3">
        <v>46388</v>
      </c>
      <c r="H529" s="20">
        <v>923.92727272727268</v>
      </c>
      <c r="I529" s="20">
        <v>1499</v>
      </c>
      <c r="J529" s="20">
        <v>1016.32</v>
      </c>
      <c r="K529" s="20">
        <f>P529-O529-M529</f>
        <v>5833.68</v>
      </c>
      <c r="L529" s="23">
        <v>9</v>
      </c>
      <c r="M529" s="20">
        <v>640.28</v>
      </c>
      <c r="N529" s="23">
        <v>9</v>
      </c>
      <c r="O529" s="20">
        <v>640.28</v>
      </c>
      <c r="P529" s="20">
        <v>7114.24</v>
      </c>
    </row>
    <row r="530" spans="1:16" x14ac:dyDescent="0.35">
      <c r="A530">
        <v>529</v>
      </c>
      <c r="B530" t="s">
        <v>946</v>
      </c>
      <c r="C530" t="s">
        <v>947</v>
      </c>
      <c r="D530">
        <v>4</v>
      </c>
      <c r="E530" t="s">
        <v>501</v>
      </c>
      <c r="F530" s="2">
        <v>45958</v>
      </c>
      <c r="G530" s="3">
        <v>46388</v>
      </c>
      <c r="H530" s="20">
        <v>424.67272727272723</v>
      </c>
      <c r="I530" s="20">
        <v>689</v>
      </c>
      <c r="J530" s="20">
        <v>467.14</v>
      </c>
      <c r="K530" s="20">
        <f>P530-O530-M530</f>
        <v>1532.2199999999998</v>
      </c>
      <c r="L530" s="23">
        <v>9</v>
      </c>
      <c r="M530" s="20">
        <v>168.17</v>
      </c>
      <c r="N530" s="23">
        <v>9</v>
      </c>
      <c r="O530" s="20">
        <v>168.17</v>
      </c>
      <c r="P530" s="20">
        <v>1868.56</v>
      </c>
    </row>
    <row r="531" spans="1:16" x14ac:dyDescent="0.35">
      <c r="A531">
        <v>530</v>
      </c>
      <c r="B531" t="s">
        <v>946</v>
      </c>
      <c r="C531" t="s">
        <v>948</v>
      </c>
      <c r="D531">
        <v>6</v>
      </c>
      <c r="E531" t="s">
        <v>501</v>
      </c>
      <c r="F531" s="2">
        <v>45958</v>
      </c>
      <c r="G531" s="3">
        <v>46447</v>
      </c>
      <c r="H531" s="20">
        <v>424.67272727272723</v>
      </c>
      <c r="I531" s="20">
        <v>689</v>
      </c>
      <c r="J531" s="20">
        <v>467.14</v>
      </c>
      <c r="K531" s="20">
        <f>P531-O531-M531</f>
        <v>2298.3199999999997</v>
      </c>
      <c r="L531" s="23">
        <v>9</v>
      </c>
      <c r="M531" s="20">
        <v>252.26</v>
      </c>
      <c r="N531" s="23">
        <v>9</v>
      </c>
      <c r="O531" s="20">
        <v>252.26</v>
      </c>
      <c r="P531" s="20">
        <v>2802.84</v>
      </c>
    </row>
    <row r="532" spans="1:16" x14ac:dyDescent="0.35">
      <c r="A532">
        <v>531</v>
      </c>
      <c r="B532" t="s">
        <v>949</v>
      </c>
      <c r="C532" t="s">
        <v>964</v>
      </c>
      <c r="D532">
        <v>1</v>
      </c>
      <c r="E532" t="s">
        <v>95</v>
      </c>
      <c r="F532" s="2">
        <v>45958</v>
      </c>
      <c r="G532" s="3">
        <v>46600</v>
      </c>
      <c r="H532" s="20">
        <v>134.81818181818181</v>
      </c>
      <c r="I532" s="20">
        <v>280</v>
      </c>
      <c r="J532" s="20">
        <v>148.30000000000001</v>
      </c>
      <c r="K532" s="20">
        <v>148.30000000000001</v>
      </c>
      <c r="L532" s="23">
        <v>9</v>
      </c>
      <c r="M532" s="20">
        <v>13.35</v>
      </c>
      <c r="N532" s="23">
        <v>9</v>
      </c>
      <c r="O532" s="20">
        <v>13.35</v>
      </c>
      <c r="P532" s="20">
        <v>175</v>
      </c>
    </row>
    <row r="533" spans="1:16" x14ac:dyDescent="0.35">
      <c r="A533">
        <v>534</v>
      </c>
      <c r="B533" t="s">
        <v>950</v>
      </c>
      <c r="C533" t="s">
        <v>965</v>
      </c>
      <c r="D533">
        <v>2</v>
      </c>
      <c r="E533" t="s">
        <v>95</v>
      </c>
      <c r="F533" s="2">
        <v>45958</v>
      </c>
      <c r="G533" s="3">
        <v>46905</v>
      </c>
      <c r="H533" s="20">
        <v>436.5090909090909</v>
      </c>
      <c r="I533" s="20">
        <v>605</v>
      </c>
      <c r="J533" s="20">
        <v>480.16</v>
      </c>
      <c r="K533" s="20">
        <v>960.32</v>
      </c>
      <c r="L533" s="23">
        <v>2.5</v>
      </c>
      <c r="M533" s="20">
        <v>24.01</v>
      </c>
      <c r="N533" s="23">
        <v>2.5</v>
      </c>
      <c r="O533" s="20">
        <v>24.01</v>
      </c>
      <c r="P533" s="20">
        <v>1008.34</v>
      </c>
    </row>
    <row r="534" spans="1:16" x14ac:dyDescent="0.35">
      <c r="A534">
        <v>535</v>
      </c>
      <c r="B534" t="s">
        <v>951</v>
      </c>
      <c r="C534" t="s">
        <v>966</v>
      </c>
      <c r="D534">
        <v>2</v>
      </c>
      <c r="E534" t="s">
        <v>95</v>
      </c>
      <c r="F534" s="2">
        <v>45958</v>
      </c>
      <c r="G534" s="3">
        <v>46357</v>
      </c>
      <c r="H534" s="20">
        <v>154.21818181818179</v>
      </c>
      <c r="I534" s="20">
        <v>222.65</v>
      </c>
      <c r="J534" s="20">
        <v>169.64</v>
      </c>
      <c r="K534" s="20">
        <v>329.1</v>
      </c>
      <c r="L534" s="23">
        <v>2.5</v>
      </c>
      <c r="M534" s="20">
        <v>8.23</v>
      </c>
      <c r="N534" s="23">
        <v>2.5</v>
      </c>
      <c r="O534" s="20">
        <v>8.23</v>
      </c>
      <c r="P534" s="20">
        <v>345.56</v>
      </c>
    </row>
    <row r="535" spans="1:16" x14ac:dyDescent="0.35">
      <c r="A535">
        <v>536</v>
      </c>
      <c r="B535" t="s">
        <v>952</v>
      </c>
      <c r="C535" t="s">
        <v>967</v>
      </c>
      <c r="D535">
        <v>1</v>
      </c>
      <c r="E535" t="s">
        <v>95</v>
      </c>
      <c r="F535" s="2">
        <v>45958</v>
      </c>
      <c r="G535" s="3">
        <v>46447</v>
      </c>
      <c r="H535" s="20">
        <v>83.763636363636351</v>
      </c>
      <c r="I535" s="20">
        <v>120.94</v>
      </c>
      <c r="J535" s="20">
        <v>92.14</v>
      </c>
      <c r="K535" s="20">
        <v>89.38</v>
      </c>
      <c r="L535" s="23">
        <v>2.5</v>
      </c>
      <c r="M535" s="20">
        <v>2.23</v>
      </c>
      <c r="N535" s="23">
        <v>2.5</v>
      </c>
      <c r="O535" s="20">
        <v>2.23</v>
      </c>
      <c r="P535" s="20">
        <v>93.84</v>
      </c>
    </row>
    <row r="536" spans="1:16" x14ac:dyDescent="0.35">
      <c r="A536">
        <v>537</v>
      </c>
      <c r="B536" t="s">
        <v>953</v>
      </c>
      <c r="C536" t="s">
        <v>968</v>
      </c>
      <c r="D536">
        <v>1</v>
      </c>
      <c r="E536" t="s">
        <v>95</v>
      </c>
      <c r="F536" s="2">
        <v>45958</v>
      </c>
      <c r="G536" s="3">
        <v>46296</v>
      </c>
      <c r="H536" s="20">
        <v>160.87272727272727</v>
      </c>
      <c r="I536" s="20">
        <v>232.26</v>
      </c>
      <c r="J536" s="20">
        <v>176.96</v>
      </c>
      <c r="K536" s="20">
        <v>171.65</v>
      </c>
      <c r="L536" s="23">
        <v>2.5</v>
      </c>
      <c r="M536" s="20">
        <v>4.29</v>
      </c>
      <c r="N536" s="23">
        <v>2.5</v>
      </c>
      <c r="O536" s="20">
        <v>4.29</v>
      </c>
      <c r="P536" s="20">
        <v>180.23</v>
      </c>
    </row>
    <row r="537" spans="1:16" x14ac:dyDescent="0.35">
      <c r="A537">
        <v>538</v>
      </c>
      <c r="B537" t="s">
        <v>954</v>
      </c>
      <c r="C537" s="4">
        <v>5120045</v>
      </c>
      <c r="D537">
        <v>1</v>
      </c>
      <c r="E537" t="s">
        <v>95</v>
      </c>
      <c r="F537" s="2">
        <v>45958</v>
      </c>
      <c r="G537" s="3">
        <v>46447</v>
      </c>
      <c r="H537" s="20">
        <v>604.62727272727273</v>
      </c>
      <c r="I537" s="20">
        <v>981</v>
      </c>
      <c r="J537" s="20">
        <v>665.09</v>
      </c>
      <c r="K537" s="20">
        <v>645.14</v>
      </c>
      <c r="L537" s="23">
        <v>9</v>
      </c>
      <c r="M537" s="20">
        <v>58.06</v>
      </c>
      <c r="N537" s="23">
        <v>9</v>
      </c>
      <c r="O537" s="20">
        <v>58.06</v>
      </c>
      <c r="P537" s="20">
        <v>761.26</v>
      </c>
    </row>
    <row r="538" spans="1:16" x14ac:dyDescent="0.35">
      <c r="A538">
        <v>539</v>
      </c>
      <c r="B538" t="s">
        <v>955</v>
      </c>
      <c r="C538" s="4" t="s">
        <v>969</v>
      </c>
      <c r="D538">
        <v>1</v>
      </c>
      <c r="E538" t="s">
        <v>95</v>
      </c>
      <c r="F538" s="2">
        <v>45958</v>
      </c>
      <c r="G538" s="3">
        <v>46478</v>
      </c>
      <c r="H538" s="20">
        <v>385.71818181818179</v>
      </c>
      <c r="I538" s="20">
        <v>556.88</v>
      </c>
      <c r="J538" s="20">
        <v>424.29</v>
      </c>
      <c r="K538" s="20">
        <v>411.56</v>
      </c>
      <c r="L538" s="23">
        <v>2.5</v>
      </c>
      <c r="M538" s="20">
        <v>10.29</v>
      </c>
      <c r="N538" s="23">
        <v>2.5</v>
      </c>
      <c r="O538" s="20">
        <v>10.29</v>
      </c>
      <c r="P538" s="20">
        <v>432.14</v>
      </c>
    </row>
    <row r="539" spans="1:16" x14ac:dyDescent="0.35">
      <c r="A539">
        <v>540</v>
      </c>
      <c r="B539" t="s">
        <v>956</v>
      </c>
      <c r="C539" s="4" t="s">
        <v>970</v>
      </c>
      <c r="D539">
        <v>1</v>
      </c>
      <c r="E539" t="s">
        <v>95</v>
      </c>
      <c r="F539" s="2">
        <v>45958</v>
      </c>
      <c r="G539" s="3">
        <v>46508</v>
      </c>
      <c r="H539" s="20">
        <v>213.30909090909088</v>
      </c>
      <c r="I539" s="20">
        <v>307.95999999999998</v>
      </c>
      <c r="J539" s="20">
        <v>234.64</v>
      </c>
      <c r="K539" s="20">
        <v>227.6</v>
      </c>
      <c r="L539" s="23">
        <v>2.5</v>
      </c>
      <c r="M539" s="20">
        <v>5.69</v>
      </c>
      <c r="N539" s="23">
        <v>2.5</v>
      </c>
      <c r="O539" s="20">
        <v>5.69</v>
      </c>
      <c r="P539" s="20">
        <v>238.98</v>
      </c>
    </row>
    <row r="540" spans="1:16" x14ac:dyDescent="0.35">
      <c r="A540">
        <v>541</v>
      </c>
      <c r="B540" t="s">
        <v>957</v>
      </c>
      <c r="C540" s="4" t="s">
        <v>971</v>
      </c>
      <c r="D540">
        <v>5</v>
      </c>
      <c r="E540" t="s">
        <v>95</v>
      </c>
      <c r="F540" s="2">
        <v>45958</v>
      </c>
      <c r="G540" s="3">
        <v>46357</v>
      </c>
      <c r="H540" s="20">
        <v>249.6</v>
      </c>
      <c r="I540" s="20">
        <v>360.35</v>
      </c>
      <c r="J540" s="20">
        <v>274.56</v>
      </c>
      <c r="K540" s="20">
        <v>1198.45</v>
      </c>
      <c r="L540" s="23">
        <v>2.5</v>
      </c>
      <c r="M540" s="20">
        <v>29.96</v>
      </c>
      <c r="N540" s="23">
        <v>2.5</v>
      </c>
      <c r="O540" s="20">
        <v>29.96</v>
      </c>
      <c r="P540" s="20">
        <v>1258.3699999999999</v>
      </c>
    </row>
    <row r="541" spans="1:16" x14ac:dyDescent="0.35">
      <c r="A541">
        <v>542</v>
      </c>
      <c r="B541" t="s">
        <v>958</v>
      </c>
      <c r="C541" s="4" t="s">
        <v>972</v>
      </c>
      <c r="D541">
        <v>1</v>
      </c>
      <c r="E541" t="s">
        <v>95</v>
      </c>
      <c r="F541" s="2">
        <v>45958</v>
      </c>
      <c r="G541" s="3">
        <v>46539</v>
      </c>
      <c r="H541" s="20">
        <v>1118.6454545454544</v>
      </c>
      <c r="I541" s="20">
        <v>1815</v>
      </c>
      <c r="J541" s="20">
        <v>1230.51</v>
      </c>
      <c r="K541" s="20">
        <v>1193.5899999999999</v>
      </c>
      <c r="L541" s="23">
        <v>9</v>
      </c>
      <c r="M541" s="20">
        <v>107.42</v>
      </c>
      <c r="N541" s="23">
        <v>9</v>
      </c>
      <c r="O541" s="20">
        <v>107.42</v>
      </c>
      <c r="P541" s="20">
        <v>1408.43</v>
      </c>
    </row>
    <row r="542" spans="1:16" x14ac:dyDescent="0.35">
      <c r="A542">
        <v>543</v>
      </c>
      <c r="B542" t="s">
        <v>959</v>
      </c>
      <c r="C542" s="4" t="s">
        <v>976</v>
      </c>
      <c r="D542">
        <v>3</v>
      </c>
      <c r="E542" t="s">
        <v>95</v>
      </c>
      <c r="F542" s="2">
        <v>45958</v>
      </c>
      <c r="G542" s="3">
        <v>46569</v>
      </c>
      <c r="H542" s="20">
        <v>187.49999999999997</v>
      </c>
      <c r="I542" s="20">
        <v>270.7</v>
      </c>
      <c r="J542" s="20">
        <v>206.25</v>
      </c>
      <c r="K542" s="20">
        <v>600.19000000000005</v>
      </c>
      <c r="L542" s="23">
        <v>2.5</v>
      </c>
      <c r="M542" s="20">
        <v>15</v>
      </c>
      <c r="N542" s="23">
        <v>2.5</v>
      </c>
      <c r="O542" s="20">
        <v>15</v>
      </c>
      <c r="P542" s="20">
        <v>630.19000000000005</v>
      </c>
    </row>
    <row r="543" spans="1:16" x14ac:dyDescent="0.35">
      <c r="A543">
        <v>544</v>
      </c>
      <c r="B543" t="s">
        <v>960</v>
      </c>
      <c r="C543" s="4">
        <v>2250556</v>
      </c>
      <c r="D543">
        <v>2</v>
      </c>
      <c r="E543" t="s">
        <v>95</v>
      </c>
      <c r="F543" s="2">
        <v>45958</v>
      </c>
      <c r="G543" s="3">
        <v>46478</v>
      </c>
      <c r="H543" s="20">
        <v>207.30909090909088</v>
      </c>
      <c r="I543" s="20">
        <v>299.3</v>
      </c>
      <c r="J543" s="20">
        <v>228.04</v>
      </c>
      <c r="K543" s="20">
        <v>442.4</v>
      </c>
      <c r="L543" s="23">
        <v>2.5</v>
      </c>
      <c r="M543" s="20">
        <v>11.06</v>
      </c>
      <c r="N543" s="23">
        <v>2.5</v>
      </c>
      <c r="O543" s="20">
        <v>11.06</v>
      </c>
      <c r="P543" s="20">
        <v>464.52</v>
      </c>
    </row>
    <row r="544" spans="1:16" x14ac:dyDescent="0.35">
      <c r="A544">
        <v>545</v>
      </c>
      <c r="B544" t="s">
        <v>961</v>
      </c>
      <c r="C544" t="s">
        <v>973</v>
      </c>
      <c r="D544">
        <v>1</v>
      </c>
      <c r="E544" t="s">
        <v>95</v>
      </c>
      <c r="F544" s="2">
        <v>45958</v>
      </c>
      <c r="G544" s="3">
        <v>46478</v>
      </c>
      <c r="H544" s="20">
        <v>84.418181818181807</v>
      </c>
      <c r="I544" s="20">
        <v>121.88</v>
      </c>
      <c r="J544" s="20">
        <v>92.86</v>
      </c>
      <c r="K544" s="20">
        <v>90.07</v>
      </c>
      <c r="L544" s="23">
        <v>2.5</v>
      </c>
      <c r="M544" s="20">
        <v>2.25</v>
      </c>
      <c r="N544" s="23">
        <v>2.5</v>
      </c>
      <c r="O544" s="20">
        <v>2.25</v>
      </c>
      <c r="P544" s="20">
        <v>94.57</v>
      </c>
    </row>
    <row r="545" spans="1:16" x14ac:dyDescent="0.35">
      <c r="A545">
        <v>546</v>
      </c>
      <c r="B545" t="s">
        <v>962</v>
      </c>
      <c r="C545" t="s">
        <v>974</v>
      </c>
      <c r="D545">
        <v>5</v>
      </c>
      <c r="E545" t="s">
        <v>95</v>
      </c>
      <c r="F545" s="2">
        <v>45958</v>
      </c>
      <c r="G545" s="3">
        <v>46174</v>
      </c>
      <c r="H545" s="20">
        <v>73.699999999999989</v>
      </c>
      <c r="I545" s="20">
        <v>106.41</v>
      </c>
      <c r="J545" s="20">
        <v>81.069999999999993</v>
      </c>
      <c r="K545" s="20">
        <v>353.87</v>
      </c>
      <c r="L545" s="23">
        <v>2.5</v>
      </c>
      <c r="M545" s="20">
        <v>8.85</v>
      </c>
      <c r="N545" s="23">
        <v>2.5</v>
      </c>
      <c r="O545" s="20">
        <v>8.85</v>
      </c>
      <c r="P545" s="20">
        <v>371.57</v>
      </c>
    </row>
    <row r="546" spans="1:16" x14ac:dyDescent="0.35">
      <c r="A546">
        <v>547</v>
      </c>
      <c r="B546" t="s">
        <v>963</v>
      </c>
      <c r="C546" t="s">
        <v>975</v>
      </c>
      <c r="D546">
        <v>1</v>
      </c>
      <c r="E546" t="s">
        <v>95</v>
      </c>
      <c r="F546" s="2">
        <v>45958</v>
      </c>
      <c r="G546" s="3">
        <v>47270</v>
      </c>
      <c r="H546" s="20">
        <v>69.236363636363635</v>
      </c>
      <c r="I546" s="20">
        <v>92</v>
      </c>
      <c r="J546" s="20">
        <v>76.16</v>
      </c>
      <c r="K546" s="20">
        <v>76.16</v>
      </c>
      <c r="L546" s="23">
        <v>2.5</v>
      </c>
      <c r="M546" s="20">
        <v>1.9</v>
      </c>
      <c r="N546" s="23">
        <v>2.5</v>
      </c>
      <c r="O546" s="20">
        <v>1.9</v>
      </c>
      <c r="P546" s="20">
        <v>79.959999999999994</v>
      </c>
    </row>
    <row r="547" spans="1:16" x14ac:dyDescent="0.35">
      <c r="A547">
        <v>548</v>
      </c>
      <c r="B547" t="s">
        <v>977</v>
      </c>
      <c r="C547" t="s">
        <v>985</v>
      </c>
      <c r="D547">
        <v>1</v>
      </c>
      <c r="E547" t="s">
        <v>95</v>
      </c>
      <c r="F547" s="2">
        <v>45959</v>
      </c>
      <c r="G547" s="3">
        <v>46874</v>
      </c>
      <c r="H547" s="20">
        <v>474.75454545454545</v>
      </c>
      <c r="I547" s="20">
        <v>658</v>
      </c>
      <c r="J547" s="20">
        <v>522.23</v>
      </c>
      <c r="K547" s="20">
        <v>522.22299999999996</v>
      </c>
      <c r="L547" s="23">
        <v>2.5</v>
      </c>
      <c r="M547" s="20">
        <v>13.06</v>
      </c>
      <c r="N547" s="23">
        <v>2.5</v>
      </c>
      <c r="O547" s="20">
        <v>13.06</v>
      </c>
      <c r="P547" s="20">
        <v>548.35</v>
      </c>
    </row>
    <row r="548" spans="1:16" x14ac:dyDescent="0.35">
      <c r="A548">
        <v>549</v>
      </c>
      <c r="B548" t="s">
        <v>978</v>
      </c>
      <c r="C548" t="s">
        <v>986</v>
      </c>
      <c r="D548">
        <v>1</v>
      </c>
      <c r="E548" t="s">
        <v>95</v>
      </c>
      <c r="F548" s="2">
        <v>45959</v>
      </c>
      <c r="G548" s="3">
        <v>46569</v>
      </c>
      <c r="H548" s="20">
        <v>148.22727272727272</v>
      </c>
      <c r="I548" s="20">
        <v>214</v>
      </c>
      <c r="J548" s="20">
        <v>163.05000000000001</v>
      </c>
      <c r="K548" s="20">
        <v>158.16</v>
      </c>
      <c r="L548" s="23">
        <v>2.5</v>
      </c>
      <c r="M548" s="20">
        <v>3.95</v>
      </c>
      <c r="N548" s="23">
        <v>2.5</v>
      </c>
      <c r="O548" s="20">
        <v>3.95</v>
      </c>
      <c r="P548" s="20">
        <v>166.06</v>
      </c>
    </row>
    <row r="549" spans="1:16" x14ac:dyDescent="0.35">
      <c r="A549">
        <v>550</v>
      </c>
      <c r="B549" t="s">
        <v>979</v>
      </c>
      <c r="C549" s="4">
        <v>7250430</v>
      </c>
      <c r="D549">
        <v>10</v>
      </c>
      <c r="E549" t="s">
        <v>95</v>
      </c>
      <c r="F549" s="2">
        <v>45959</v>
      </c>
      <c r="G549" s="3">
        <v>46905</v>
      </c>
      <c r="H549" s="20">
        <v>85.636363636363626</v>
      </c>
      <c r="I549" s="20">
        <v>123.64</v>
      </c>
      <c r="J549" s="20">
        <v>94.2</v>
      </c>
      <c r="K549" s="20">
        <v>913.74</v>
      </c>
      <c r="L549" s="23">
        <v>2.5</v>
      </c>
      <c r="M549" s="20">
        <v>22.84</v>
      </c>
      <c r="N549" s="23">
        <v>2.5</v>
      </c>
      <c r="O549" s="20">
        <v>22.84</v>
      </c>
      <c r="P549" s="20">
        <v>959.42</v>
      </c>
    </row>
    <row r="550" spans="1:16" x14ac:dyDescent="0.35">
      <c r="A550">
        <v>551</v>
      </c>
      <c r="B550" t="s">
        <v>980</v>
      </c>
      <c r="C550" t="s">
        <v>987</v>
      </c>
      <c r="D550">
        <v>1</v>
      </c>
      <c r="E550" t="s">
        <v>95</v>
      </c>
      <c r="F550" s="2">
        <v>45959</v>
      </c>
      <c r="G550" s="3">
        <v>46539</v>
      </c>
      <c r="H550" s="20">
        <v>174.54545454545453</v>
      </c>
      <c r="I550" s="20">
        <v>252</v>
      </c>
      <c r="J550" s="20">
        <v>192</v>
      </c>
      <c r="K550" s="20">
        <v>186.24</v>
      </c>
      <c r="L550" s="23">
        <v>2.5</v>
      </c>
      <c r="M550" s="20">
        <v>4.66</v>
      </c>
      <c r="N550" s="23">
        <v>2.5</v>
      </c>
      <c r="O550" s="20">
        <v>4.66</v>
      </c>
      <c r="P550" s="20">
        <v>195.56</v>
      </c>
    </row>
    <row r="551" spans="1:16" x14ac:dyDescent="0.35">
      <c r="A551">
        <v>552</v>
      </c>
      <c r="B551" t="s">
        <v>287</v>
      </c>
      <c r="C551" t="s">
        <v>988</v>
      </c>
      <c r="D551">
        <v>1</v>
      </c>
      <c r="E551" t="s">
        <v>95</v>
      </c>
      <c r="F551" s="2">
        <v>45959</v>
      </c>
      <c r="G551" s="3">
        <v>46569</v>
      </c>
      <c r="H551" s="20">
        <v>207.55454545454543</v>
      </c>
      <c r="I551" s="20">
        <v>299.66000000000003</v>
      </c>
      <c r="J551" s="20">
        <v>228.31</v>
      </c>
      <c r="K551" s="20">
        <v>221.46</v>
      </c>
      <c r="L551" s="23">
        <v>2.5</v>
      </c>
      <c r="M551" s="20">
        <v>5.54</v>
      </c>
      <c r="N551" s="23">
        <v>2.5</v>
      </c>
      <c r="O551" s="20">
        <v>5.54</v>
      </c>
      <c r="P551" s="20">
        <v>232.54</v>
      </c>
    </row>
    <row r="552" spans="1:16" x14ac:dyDescent="0.35">
      <c r="A552">
        <v>553</v>
      </c>
      <c r="B552" t="s">
        <v>981</v>
      </c>
      <c r="C552" t="s">
        <v>68</v>
      </c>
      <c r="D552">
        <v>5</v>
      </c>
      <c r="E552" t="s">
        <v>95</v>
      </c>
      <c r="F552" s="2">
        <v>45959</v>
      </c>
      <c r="G552" s="3">
        <v>46508</v>
      </c>
      <c r="H552" s="20">
        <v>241.59999999999997</v>
      </c>
      <c r="I552" s="20">
        <v>392</v>
      </c>
      <c r="J552" s="20">
        <v>265.76</v>
      </c>
      <c r="K552" s="20">
        <v>1288.94</v>
      </c>
      <c r="L552" s="23">
        <v>9</v>
      </c>
      <c r="M552" s="20">
        <v>116</v>
      </c>
      <c r="N552" s="23">
        <v>9</v>
      </c>
      <c r="O552" s="20">
        <v>116</v>
      </c>
      <c r="P552" s="20">
        <v>1520.94</v>
      </c>
    </row>
    <row r="553" spans="1:16" x14ac:dyDescent="0.35">
      <c r="A553">
        <v>554</v>
      </c>
      <c r="B553" t="s">
        <v>982</v>
      </c>
      <c r="C553" t="s">
        <v>989</v>
      </c>
      <c r="D553">
        <v>4</v>
      </c>
      <c r="E553" t="s">
        <v>95</v>
      </c>
      <c r="F553" s="2">
        <v>45959</v>
      </c>
      <c r="G553" s="3">
        <v>46419</v>
      </c>
      <c r="H553" s="20">
        <v>140.90909090909091</v>
      </c>
      <c r="I553" s="20">
        <v>203.44</v>
      </c>
      <c r="J553" s="20">
        <v>155</v>
      </c>
      <c r="K553" s="20">
        <v>601.4</v>
      </c>
      <c r="L553" s="23">
        <v>2.5</v>
      </c>
      <c r="M553" s="20">
        <v>15.04</v>
      </c>
      <c r="N553" s="23">
        <v>2.5</v>
      </c>
      <c r="O553" s="20">
        <v>15.04</v>
      </c>
      <c r="P553" s="20">
        <v>631.48</v>
      </c>
    </row>
    <row r="554" spans="1:16" x14ac:dyDescent="0.35">
      <c r="A554">
        <v>555</v>
      </c>
      <c r="B554" t="s">
        <v>983</v>
      </c>
      <c r="C554" t="s">
        <v>990</v>
      </c>
      <c r="D554">
        <v>3</v>
      </c>
      <c r="E554" t="s">
        <v>95</v>
      </c>
      <c r="F554" s="2">
        <v>45959</v>
      </c>
      <c r="G554" s="3">
        <v>46539</v>
      </c>
      <c r="H554" s="20">
        <v>115.41818181818181</v>
      </c>
      <c r="I554" s="20">
        <v>166.64</v>
      </c>
      <c r="J554" s="20">
        <v>126.96</v>
      </c>
      <c r="K554" s="20">
        <v>369.45</v>
      </c>
      <c r="L554" s="23">
        <v>2.5</v>
      </c>
      <c r="M554" s="20">
        <v>9.24</v>
      </c>
      <c r="N554" s="23">
        <v>2.5</v>
      </c>
      <c r="O554" s="20">
        <v>9.24</v>
      </c>
      <c r="P554" s="20">
        <v>387.93</v>
      </c>
    </row>
    <row r="555" spans="1:16" x14ac:dyDescent="0.35">
      <c r="A555">
        <v>556</v>
      </c>
      <c r="B555" t="s">
        <v>984</v>
      </c>
      <c r="C555" t="s">
        <v>991</v>
      </c>
      <c r="D555">
        <v>1</v>
      </c>
      <c r="E555" t="s">
        <v>95</v>
      </c>
      <c r="F555" s="2">
        <v>45959</v>
      </c>
      <c r="G555" s="3">
        <v>46508</v>
      </c>
      <c r="H555" s="20">
        <v>85.509090909090901</v>
      </c>
      <c r="I555" s="20">
        <v>123.46</v>
      </c>
      <c r="J555" s="20">
        <v>94.06</v>
      </c>
      <c r="K555" s="20">
        <v>91.24</v>
      </c>
      <c r="L555" s="23">
        <v>2.5</v>
      </c>
      <c r="M555" s="20">
        <v>2.2799999999999998</v>
      </c>
      <c r="N555" s="23">
        <v>2.5</v>
      </c>
      <c r="O555" s="20">
        <v>2.2799999999999998</v>
      </c>
      <c r="P555" s="20">
        <v>95.8</v>
      </c>
    </row>
    <row r="556" spans="1:16" x14ac:dyDescent="0.35">
      <c r="A556">
        <v>557</v>
      </c>
      <c r="B556" t="s">
        <v>378</v>
      </c>
      <c r="C556" t="s">
        <v>1000</v>
      </c>
      <c r="D556">
        <v>2</v>
      </c>
      <c r="E556" t="s">
        <v>37</v>
      </c>
      <c r="F556" s="2">
        <v>45959</v>
      </c>
      <c r="G556" s="3">
        <v>46539</v>
      </c>
      <c r="H556" s="20">
        <v>71.427272727272722</v>
      </c>
      <c r="I556" s="20">
        <v>103.12</v>
      </c>
      <c r="J556" s="20">
        <v>78.569999999999993</v>
      </c>
      <c r="K556" s="20">
        <v>152.43</v>
      </c>
      <c r="L556" s="23">
        <v>2.5</v>
      </c>
      <c r="M556" s="20">
        <v>3.81</v>
      </c>
      <c r="N556" s="23">
        <v>2.5</v>
      </c>
      <c r="O556" s="20">
        <v>3.81</v>
      </c>
      <c r="P556" s="20">
        <v>160.05000000000001</v>
      </c>
    </row>
    <row r="557" spans="1:16" x14ac:dyDescent="0.35">
      <c r="A557">
        <v>558</v>
      </c>
      <c r="B557" t="s">
        <v>992</v>
      </c>
      <c r="C557" t="s">
        <v>1001</v>
      </c>
      <c r="D557">
        <v>5</v>
      </c>
      <c r="E557" t="s">
        <v>37</v>
      </c>
      <c r="F557" s="2">
        <v>45959</v>
      </c>
      <c r="G557" s="3">
        <v>46204</v>
      </c>
      <c r="H557" s="20">
        <v>136.36363636363635</v>
      </c>
      <c r="I557" s="20">
        <v>196.88</v>
      </c>
      <c r="J557" s="20">
        <v>150</v>
      </c>
      <c r="K557" s="20">
        <v>727.5</v>
      </c>
      <c r="L557" s="23">
        <v>2.5</v>
      </c>
      <c r="M557" s="20">
        <v>18.190000000000001</v>
      </c>
      <c r="N557" s="23">
        <v>2.5</v>
      </c>
      <c r="O557" s="20">
        <v>18.190000000000001</v>
      </c>
      <c r="P557" s="20">
        <v>763.88</v>
      </c>
    </row>
    <row r="558" spans="1:16" x14ac:dyDescent="0.35">
      <c r="A558">
        <v>559</v>
      </c>
      <c r="B558" t="s">
        <v>993</v>
      </c>
      <c r="C558" t="s">
        <v>1002</v>
      </c>
      <c r="D558">
        <v>2</v>
      </c>
      <c r="E558" t="s">
        <v>37</v>
      </c>
      <c r="F558" s="2">
        <v>45959</v>
      </c>
      <c r="G558" s="3">
        <v>46539</v>
      </c>
      <c r="H558" s="20">
        <v>77.918181818181807</v>
      </c>
      <c r="I558" s="20">
        <v>112.5</v>
      </c>
      <c r="J558" s="20">
        <v>85.71</v>
      </c>
      <c r="K558" s="20">
        <v>166.28</v>
      </c>
      <c r="L558" s="23">
        <v>2.5</v>
      </c>
      <c r="M558" s="20">
        <v>4.16</v>
      </c>
      <c r="N558" s="23">
        <v>2.5</v>
      </c>
      <c r="O558" s="20">
        <v>4.16</v>
      </c>
      <c r="P558" s="20">
        <v>174.6</v>
      </c>
    </row>
    <row r="559" spans="1:16" x14ac:dyDescent="0.35">
      <c r="A559">
        <v>560</v>
      </c>
      <c r="B559" t="s">
        <v>994</v>
      </c>
      <c r="C559" t="s">
        <v>1003</v>
      </c>
      <c r="D559">
        <v>1</v>
      </c>
      <c r="E559" t="s">
        <v>37</v>
      </c>
      <c r="F559" s="2">
        <v>45959</v>
      </c>
      <c r="G559" s="3">
        <v>46357</v>
      </c>
      <c r="H559" s="20">
        <v>94.872727272727261</v>
      </c>
      <c r="I559" s="20">
        <v>136.97</v>
      </c>
      <c r="J559" s="20">
        <v>104.36</v>
      </c>
      <c r="K559" s="20">
        <v>101.23</v>
      </c>
      <c r="L559" s="23">
        <v>2.5</v>
      </c>
      <c r="M559" s="20">
        <v>2.5299999999999998</v>
      </c>
      <c r="N559" s="23">
        <v>2.5</v>
      </c>
      <c r="O559" s="20">
        <v>2.5299999999999998</v>
      </c>
      <c r="P559" s="20">
        <v>106.29</v>
      </c>
    </row>
    <row r="560" spans="1:16" x14ac:dyDescent="0.35">
      <c r="A560">
        <v>561</v>
      </c>
      <c r="B560" t="s">
        <v>995</v>
      </c>
      <c r="C560" t="s">
        <v>1004</v>
      </c>
      <c r="D560">
        <v>1</v>
      </c>
      <c r="E560" t="s">
        <v>37</v>
      </c>
      <c r="F560" s="2">
        <v>45959</v>
      </c>
      <c r="G560" s="3">
        <v>46966</v>
      </c>
      <c r="H560" s="20">
        <v>60.18181818181818</v>
      </c>
      <c r="I560" s="20">
        <v>86.89</v>
      </c>
      <c r="J560" s="20">
        <v>66.2</v>
      </c>
      <c r="K560" s="20">
        <v>64.209999999999994</v>
      </c>
      <c r="L560" s="23">
        <v>2.5</v>
      </c>
      <c r="M560" s="20">
        <v>1.61</v>
      </c>
      <c r="N560" s="23">
        <v>2.5</v>
      </c>
      <c r="O560" s="20">
        <v>1.61</v>
      </c>
      <c r="P560" s="20">
        <v>67.430000000000007</v>
      </c>
    </row>
    <row r="561" spans="1:16" x14ac:dyDescent="0.35">
      <c r="A561">
        <v>562</v>
      </c>
      <c r="B561" t="s">
        <v>996</v>
      </c>
      <c r="C561" t="s">
        <v>1005</v>
      </c>
      <c r="D561">
        <v>1</v>
      </c>
      <c r="E561" t="s">
        <v>37</v>
      </c>
      <c r="F561" s="2">
        <v>45959</v>
      </c>
      <c r="G561" s="3">
        <v>46569</v>
      </c>
      <c r="H561" s="20">
        <v>124.34545454545453</v>
      </c>
      <c r="I561" s="20">
        <v>179.53</v>
      </c>
      <c r="J561" s="20">
        <v>136.78</v>
      </c>
      <c r="K561" s="20">
        <v>132.68</v>
      </c>
      <c r="L561" s="23">
        <v>2.5</v>
      </c>
      <c r="M561" s="20">
        <v>3.32</v>
      </c>
      <c r="N561" s="23">
        <v>2.5</v>
      </c>
      <c r="O561" s="20">
        <v>3.32</v>
      </c>
      <c r="P561" s="20">
        <v>139.32</v>
      </c>
    </row>
    <row r="562" spans="1:16" x14ac:dyDescent="0.35">
      <c r="A562">
        <v>563</v>
      </c>
      <c r="B562" t="s">
        <v>337</v>
      </c>
      <c r="C562" t="s">
        <v>867</v>
      </c>
      <c r="D562">
        <v>1</v>
      </c>
      <c r="E562" t="s">
        <v>37</v>
      </c>
      <c r="F562" s="2">
        <v>45959</v>
      </c>
      <c r="G562" s="3">
        <v>46569</v>
      </c>
      <c r="H562" s="20">
        <v>227.27272727272725</v>
      </c>
      <c r="I562" s="20">
        <v>328.12</v>
      </c>
      <c r="J562" s="20">
        <v>250</v>
      </c>
      <c r="K562" s="20">
        <v>242.5</v>
      </c>
      <c r="L562" s="23">
        <v>2.5</v>
      </c>
      <c r="M562" s="20">
        <v>6.06</v>
      </c>
      <c r="N562" s="23">
        <v>2.5</v>
      </c>
      <c r="O562" s="20">
        <v>6.06</v>
      </c>
      <c r="P562" s="20">
        <v>254.62</v>
      </c>
    </row>
    <row r="563" spans="1:16" x14ac:dyDescent="0.35">
      <c r="A563">
        <v>564</v>
      </c>
      <c r="B563" t="s">
        <v>997</v>
      </c>
      <c r="C563" t="s">
        <v>1006</v>
      </c>
      <c r="D563">
        <v>5</v>
      </c>
      <c r="E563" t="s">
        <v>37</v>
      </c>
      <c r="F563" s="2">
        <v>45959</v>
      </c>
      <c r="G563" s="3">
        <v>46905</v>
      </c>
      <c r="H563" s="20">
        <v>4.8</v>
      </c>
      <c r="I563" s="20">
        <v>6.93</v>
      </c>
      <c r="J563" s="20">
        <v>5.28</v>
      </c>
      <c r="K563" s="20">
        <v>25.61</v>
      </c>
      <c r="L563" s="23">
        <v>2.5</v>
      </c>
      <c r="M563" s="20">
        <v>0.64</v>
      </c>
      <c r="N563" s="23">
        <v>2.5</v>
      </c>
      <c r="O563" s="20">
        <v>0.64</v>
      </c>
      <c r="P563" s="20">
        <v>26.89</v>
      </c>
    </row>
    <row r="564" spans="1:16" x14ac:dyDescent="0.35">
      <c r="A564">
        <v>565</v>
      </c>
      <c r="B564" t="s">
        <v>998</v>
      </c>
      <c r="C564" t="s">
        <v>1007</v>
      </c>
      <c r="D564">
        <v>1</v>
      </c>
      <c r="E564" t="s">
        <v>37</v>
      </c>
      <c r="F564" s="2">
        <v>45959</v>
      </c>
      <c r="G564" s="3">
        <v>46357</v>
      </c>
      <c r="H564" s="20">
        <v>96.072727272727278</v>
      </c>
      <c r="I564" s="20">
        <v>138.69999999999999</v>
      </c>
      <c r="J564" s="20">
        <v>105.68</v>
      </c>
      <c r="K564" s="20">
        <v>102.51</v>
      </c>
      <c r="L564" s="23">
        <v>2.5</v>
      </c>
      <c r="M564" s="20">
        <v>2.56</v>
      </c>
      <c r="N564" s="23">
        <v>2.5</v>
      </c>
      <c r="O564" s="20">
        <v>2.56</v>
      </c>
      <c r="P564" s="20">
        <v>107.63</v>
      </c>
    </row>
    <row r="565" spans="1:16" x14ac:dyDescent="0.35">
      <c r="A565">
        <v>566</v>
      </c>
      <c r="B565" t="s">
        <v>999</v>
      </c>
      <c r="C565" t="s">
        <v>1008</v>
      </c>
      <c r="D565">
        <v>1</v>
      </c>
      <c r="E565" t="s">
        <v>37</v>
      </c>
      <c r="F565" s="2">
        <v>45959</v>
      </c>
      <c r="G565" s="3">
        <v>46447</v>
      </c>
      <c r="H565" s="20">
        <v>131.81818181818181</v>
      </c>
      <c r="I565" s="20">
        <v>190.31</v>
      </c>
      <c r="J565" s="20">
        <v>145</v>
      </c>
      <c r="K565" s="20">
        <v>140.65</v>
      </c>
      <c r="L565" s="23">
        <v>2.5</v>
      </c>
      <c r="M565" s="20">
        <v>2.52</v>
      </c>
      <c r="N565" s="23">
        <v>2.5</v>
      </c>
      <c r="O565" s="20">
        <v>2.52</v>
      </c>
      <c r="P565" s="20">
        <v>147.69</v>
      </c>
    </row>
    <row r="566" spans="1:16" x14ac:dyDescent="0.35">
      <c r="A566">
        <v>567</v>
      </c>
      <c r="B566" t="s">
        <v>1009</v>
      </c>
      <c r="C566" t="s">
        <v>1010</v>
      </c>
      <c r="D566">
        <v>4</v>
      </c>
      <c r="E566" t="s">
        <v>134</v>
      </c>
      <c r="F566" s="2">
        <v>45959</v>
      </c>
      <c r="G566" s="3">
        <v>46539</v>
      </c>
      <c r="H566" s="20">
        <v>426.49999999999994</v>
      </c>
      <c r="I566" s="20">
        <v>692</v>
      </c>
      <c r="J566" s="20">
        <v>469.15</v>
      </c>
      <c r="K566" s="20">
        <v>4894.34</v>
      </c>
      <c r="L566" s="23">
        <v>9</v>
      </c>
      <c r="M566" s="20">
        <v>409.56</v>
      </c>
      <c r="N566" s="23">
        <v>9</v>
      </c>
      <c r="O566" s="20">
        <v>409.56</v>
      </c>
      <c r="P566" s="20">
        <v>5369.89</v>
      </c>
    </row>
    <row r="567" spans="1:16" x14ac:dyDescent="0.35">
      <c r="A567">
        <v>568</v>
      </c>
      <c r="B567" t="s">
        <v>590</v>
      </c>
      <c r="C567" s="4">
        <v>30325</v>
      </c>
      <c r="D567">
        <v>22</v>
      </c>
      <c r="E567" t="s">
        <v>594</v>
      </c>
      <c r="F567" s="2">
        <v>45960</v>
      </c>
      <c r="G567" s="3">
        <v>46419</v>
      </c>
      <c r="H567" s="20">
        <v>202.24545454545452</v>
      </c>
      <c r="I567" s="20">
        <v>280.31</v>
      </c>
      <c r="J567" s="20">
        <v>222.47</v>
      </c>
      <c r="K567" s="20">
        <v>4894.34</v>
      </c>
      <c r="L567" s="23">
        <v>2.5</v>
      </c>
      <c r="M567" s="20">
        <v>222.47</v>
      </c>
      <c r="N567" s="23">
        <v>2.5</v>
      </c>
      <c r="O567" s="20">
        <v>222.47</v>
      </c>
      <c r="P567" s="20">
        <v>4449.3999999999996</v>
      </c>
    </row>
    <row r="568" spans="1:16" x14ac:dyDescent="0.35">
      <c r="A568">
        <v>569</v>
      </c>
      <c r="B568" t="s">
        <v>591</v>
      </c>
      <c r="C568" s="4">
        <v>2503</v>
      </c>
      <c r="D568">
        <v>33</v>
      </c>
      <c r="E568" t="s">
        <v>594</v>
      </c>
      <c r="F568" s="2">
        <v>45960</v>
      </c>
      <c r="G568" s="3">
        <v>46905</v>
      </c>
      <c r="H568" s="20">
        <v>78.272727272727266</v>
      </c>
      <c r="I568" s="20">
        <v>113</v>
      </c>
      <c r="J568" s="20">
        <v>86.1</v>
      </c>
      <c r="K568" s="20">
        <v>2841.3</v>
      </c>
      <c r="L568" s="23">
        <v>2.5</v>
      </c>
      <c r="M568" s="20">
        <v>129.15</v>
      </c>
      <c r="N568" s="23">
        <v>2.5</v>
      </c>
      <c r="O568" s="20">
        <v>129.15</v>
      </c>
      <c r="P568" s="20">
        <v>2583</v>
      </c>
    </row>
    <row r="569" spans="1:16" x14ac:dyDescent="0.35">
      <c r="A569">
        <v>570</v>
      </c>
      <c r="B569" t="s">
        <v>592</v>
      </c>
      <c r="C569" t="s">
        <v>593</v>
      </c>
      <c r="D569">
        <v>11</v>
      </c>
      <c r="E569" t="s">
        <v>594</v>
      </c>
      <c r="F569" s="2">
        <v>45960</v>
      </c>
      <c r="G569" s="3">
        <v>46327</v>
      </c>
      <c r="H569" s="20">
        <v>187.0090909090909</v>
      </c>
      <c r="I569" s="20">
        <v>270</v>
      </c>
      <c r="J569" s="20">
        <v>205.71</v>
      </c>
      <c r="K569" s="20">
        <v>2262.81</v>
      </c>
      <c r="L569" s="23">
        <v>2.5</v>
      </c>
      <c r="M569" s="20">
        <v>102.85</v>
      </c>
      <c r="N569" s="23">
        <v>2.5</v>
      </c>
      <c r="O569" s="20">
        <v>102.85</v>
      </c>
      <c r="P569" s="20">
        <v>2057.1</v>
      </c>
    </row>
    <row r="570" spans="1:16" x14ac:dyDescent="0.35">
      <c r="A570">
        <v>571</v>
      </c>
      <c r="B570" t="s">
        <v>803</v>
      </c>
      <c r="C570" t="s">
        <v>931</v>
      </c>
      <c r="D570">
        <v>12</v>
      </c>
      <c r="E570" t="s">
        <v>95</v>
      </c>
      <c r="F570" s="2">
        <v>45960</v>
      </c>
      <c r="G570" s="3">
        <v>46478</v>
      </c>
      <c r="H570" s="20">
        <v>334.41818181818178</v>
      </c>
      <c r="I570" s="20">
        <v>482.81</v>
      </c>
      <c r="J570" s="20">
        <v>367.86</v>
      </c>
      <c r="K570" s="20">
        <v>3568.24</v>
      </c>
      <c r="L570" s="23">
        <v>2.5</v>
      </c>
      <c r="M570" s="20">
        <v>89.21</v>
      </c>
      <c r="N570" s="23">
        <v>2.5</v>
      </c>
      <c r="O570" s="20">
        <v>89.21</v>
      </c>
      <c r="P570" s="20">
        <v>3746.66</v>
      </c>
    </row>
    <row r="571" spans="1:16" x14ac:dyDescent="0.35">
      <c r="A571">
        <v>572</v>
      </c>
      <c r="B571" t="s">
        <v>1011</v>
      </c>
      <c r="C571" t="s">
        <v>1023</v>
      </c>
      <c r="D571">
        <v>1</v>
      </c>
      <c r="E571" t="s">
        <v>95</v>
      </c>
      <c r="F571" s="2">
        <v>45960</v>
      </c>
      <c r="G571" s="3">
        <v>46600</v>
      </c>
      <c r="H571" s="20">
        <v>138.5272727272727</v>
      </c>
      <c r="I571" s="20">
        <v>200</v>
      </c>
      <c r="J571" s="20">
        <v>152.38</v>
      </c>
      <c r="K571" s="20">
        <v>147.81</v>
      </c>
      <c r="L571" s="23">
        <v>2.5</v>
      </c>
      <c r="M571" s="20">
        <v>3.7</v>
      </c>
      <c r="N571" s="23">
        <v>2.5</v>
      </c>
      <c r="O571" s="20">
        <v>3.7</v>
      </c>
      <c r="P571" s="20">
        <v>155.21</v>
      </c>
    </row>
    <row r="572" spans="1:16" x14ac:dyDescent="0.35">
      <c r="A572">
        <v>573</v>
      </c>
      <c r="B572" t="s">
        <v>1012</v>
      </c>
      <c r="C572" s="4">
        <v>28026998</v>
      </c>
      <c r="D572">
        <v>3</v>
      </c>
      <c r="E572" t="s">
        <v>95</v>
      </c>
      <c r="F572" s="2">
        <v>45960</v>
      </c>
      <c r="G572" s="3">
        <v>46327</v>
      </c>
      <c r="H572" s="20">
        <v>241.25454545454542</v>
      </c>
      <c r="I572" s="20">
        <v>206.72</v>
      </c>
      <c r="J572" s="20">
        <v>265.38</v>
      </c>
      <c r="K572" s="20">
        <v>486.22</v>
      </c>
      <c r="L572" s="23">
        <v>2.5</v>
      </c>
      <c r="M572" s="20">
        <v>12.16</v>
      </c>
      <c r="N572" s="23">
        <v>2.5</v>
      </c>
      <c r="O572" s="20">
        <v>12.16</v>
      </c>
      <c r="P572" s="20">
        <v>510.54</v>
      </c>
    </row>
    <row r="573" spans="1:16" x14ac:dyDescent="0.35">
      <c r="A573">
        <v>574</v>
      </c>
      <c r="B573" t="s">
        <v>1013</v>
      </c>
      <c r="C573" t="s">
        <v>377</v>
      </c>
      <c r="D573">
        <v>2</v>
      </c>
      <c r="E573" t="s">
        <v>95</v>
      </c>
      <c r="F573" s="2">
        <v>45960</v>
      </c>
      <c r="G573" s="3">
        <v>46539</v>
      </c>
      <c r="H573" s="20">
        <v>457.85454545454542</v>
      </c>
      <c r="I573" s="20">
        <v>661.03</v>
      </c>
      <c r="J573" s="20">
        <v>503.64</v>
      </c>
      <c r="K573" s="20">
        <v>977.06</v>
      </c>
      <c r="L573" s="23">
        <v>2.5</v>
      </c>
      <c r="M573" s="20">
        <v>24.43</v>
      </c>
      <c r="N573" s="23">
        <v>2.5</v>
      </c>
      <c r="O573" s="20">
        <v>24.43</v>
      </c>
      <c r="P573" s="20">
        <v>1025.92</v>
      </c>
    </row>
    <row r="574" spans="1:16" x14ac:dyDescent="0.35">
      <c r="A574">
        <v>575</v>
      </c>
      <c r="B574" t="s">
        <v>994</v>
      </c>
      <c r="C574" t="s">
        <v>1024</v>
      </c>
      <c r="D574">
        <v>1</v>
      </c>
      <c r="E574" t="s">
        <v>95</v>
      </c>
      <c r="F574" s="2">
        <v>45960</v>
      </c>
      <c r="G574" s="3">
        <v>46508</v>
      </c>
      <c r="H574" s="20">
        <v>78.054545454545448</v>
      </c>
      <c r="I574" s="20">
        <v>112.69</v>
      </c>
      <c r="J574" s="20">
        <v>85.86</v>
      </c>
      <c r="K574" s="20">
        <v>83.28</v>
      </c>
      <c r="L574" s="23">
        <v>2.5</v>
      </c>
      <c r="M574" s="20">
        <v>2.08</v>
      </c>
      <c r="N574" s="23">
        <v>2.5</v>
      </c>
      <c r="O574" s="20">
        <v>2.08</v>
      </c>
      <c r="P574" s="20">
        <v>87.44</v>
      </c>
    </row>
    <row r="575" spans="1:16" x14ac:dyDescent="0.35">
      <c r="A575">
        <v>576</v>
      </c>
      <c r="B575" t="s">
        <v>1014</v>
      </c>
      <c r="C575" t="s">
        <v>1025</v>
      </c>
      <c r="D575">
        <v>3</v>
      </c>
      <c r="E575" t="s">
        <v>95</v>
      </c>
      <c r="F575" s="2">
        <v>45960</v>
      </c>
      <c r="G575" s="3">
        <v>46569</v>
      </c>
      <c r="H575" s="20">
        <v>89.609090909090895</v>
      </c>
      <c r="I575" s="20">
        <v>129.38</v>
      </c>
      <c r="J575" s="20">
        <v>98.57</v>
      </c>
      <c r="K575" s="20">
        <v>286.83999999999997</v>
      </c>
      <c r="L575" s="23">
        <v>2.5</v>
      </c>
      <c r="M575" s="20">
        <v>7.17</v>
      </c>
      <c r="N575" s="23">
        <v>2.5</v>
      </c>
      <c r="O575" s="20">
        <v>7.17</v>
      </c>
      <c r="P575" s="20">
        <v>301.18</v>
      </c>
    </row>
    <row r="576" spans="1:16" x14ac:dyDescent="0.35">
      <c r="A576">
        <v>577</v>
      </c>
      <c r="B576" t="s">
        <v>1015</v>
      </c>
      <c r="C576" t="s">
        <v>1026</v>
      </c>
      <c r="D576">
        <v>1</v>
      </c>
      <c r="E576" t="s">
        <v>95</v>
      </c>
      <c r="F576" s="2">
        <v>45960</v>
      </c>
      <c r="G576" s="3">
        <v>46569</v>
      </c>
      <c r="H576" s="20">
        <v>127.42727272727271</v>
      </c>
      <c r="I576" s="20">
        <v>183.97</v>
      </c>
      <c r="J576" s="20">
        <v>140.16999999999999</v>
      </c>
      <c r="K576" s="20">
        <v>135.96</v>
      </c>
      <c r="L576" s="23">
        <v>2.5</v>
      </c>
      <c r="M576" s="20">
        <v>3.4</v>
      </c>
      <c r="N576" s="23">
        <v>2.5</v>
      </c>
      <c r="O576" s="20">
        <v>3.4</v>
      </c>
      <c r="P576" s="20">
        <v>142.76</v>
      </c>
    </row>
    <row r="577" spans="1:16" x14ac:dyDescent="0.35">
      <c r="A577">
        <v>578</v>
      </c>
      <c r="B577" t="s">
        <v>1016</v>
      </c>
      <c r="C577" t="s">
        <v>207</v>
      </c>
      <c r="D577">
        <v>1</v>
      </c>
      <c r="E577" t="s">
        <v>95</v>
      </c>
      <c r="F577" s="2">
        <v>45960</v>
      </c>
      <c r="G577" s="3">
        <v>46478</v>
      </c>
      <c r="H577" s="20">
        <v>857.93636363636358</v>
      </c>
      <c r="I577" s="20">
        <v>392</v>
      </c>
      <c r="J577" s="20">
        <v>943.73</v>
      </c>
      <c r="K577" s="20">
        <v>915.42</v>
      </c>
      <c r="L577" s="23">
        <v>9</v>
      </c>
      <c r="M577" s="20">
        <v>82.39</v>
      </c>
      <c r="N577" s="23">
        <v>9</v>
      </c>
      <c r="O577" s="20">
        <v>82.39</v>
      </c>
      <c r="P577" s="20">
        <v>1080.2</v>
      </c>
    </row>
    <row r="578" spans="1:16" x14ac:dyDescent="0.35">
      <c r="A578">
        <v>579</v>
      </c>
      <c r="B578" t="s">
        <v>1017</v>
      </c>
      <c r="C578" t="s">
        <v>1027</v>
      </c>
      <c r="D578">
        <v>1</v>
      </c>
      <c r="E578" t="s">
        <v>95</v>
      </c>
      <c r="F578" s="2">
        <v>45960</v>
      </c>
      <c r="G578" s="3">
        <v>46600</v>
      </c>
      <c r="H578" s="20">
        <v>323.46363636363634</v>
      </c>
      <c r="I578" s="20">
        <v>467</v>
      </c>
      <c r="J578" s="20">
        <v>355.81</v>
      </c>
      <c r="K578" s="20">
        <v>345.14</v>
      </c>
      <c r="L578" s="23">
        <v>2.5</v>
      </c>
      <c r="M578" s="20">
        <v>8.6300000000000008</v>
      </c>
      <c r="N578" s="23">
        <v>2.5</v>
      </c>
      <c r="O578" s="20">
        <v>8.6300000000000008</v>
      </c>
      <c r="P578" s="20">
        <v>362.4</v>
      </c>
    </row>
    <row r="579" spans="1:16" x14ac:dyDescent="0.35">
      <c r="A579">
        <v>580</v>
      </c>
      <c r="B579" t="s">
        <v>1018</v>
      </c>
      <c r="C579" t="s">
        <v>1028</v>
      </c>
      <c r="D579">
        <v>6</v>
      </c>
      <c r="E579" t="s">
        <v>95</v>
      </c>
      <c r="F579" s="2">
        <v>45960</v>
      </c>
      <c r="G579" s="3">
        <v>46508</v>
      </c>
      <c r="H579" s="20">
        <v>141.85454545454544</v>
      </c>
      <c r="I579" s="20">
        <v>204.8</v>
      </c>
      <c r="J579" s="20">
        <v>156.04</v>
      </c>
      <c r="K579" s="20">
        <v>908.15</v>
      </c>
      <c r="L579" s="23">
        <v>2.5</v>
      </c>
      <c r="M579" s="20">
        <v>22.7</v>
      </c>
      <c r="N579" s="23">
        <v>2.5</v>
      </c>
      <c r="O579" s="20">
        <v>22.7</v>
      </c>
      <c r="P579" s="20">
        <v>953.55</v>
      </c>
    </row>
    <row r="580" spans="1:16" x14ac:dyDescent="0.35">
      <c r="A580">
        <v>581</v>
      </c>
      <c r="B580" t="s">
        <v>1019</v>
      </c>
      <c r="C580" t="s">
        <v>1029</v>
      </c>
      <c r="D580">
        <v>1</v>
      </c>
      <c r="E580" t="s">
        <v>95</v>
      </c>
      <c r="F580" s="2">
        <v>45960</v>
      </c>
      <c r="G580" s="3">
        <v>46447</v>
      </c>
      <c r="H580" s="20">
        <v>422.08181818181816</v>
      </c>
      <c r="I580" s="20">
        <v>609.38</v>
      </c>
      <c r="J580" s="20">
        <v>464.29</v>
      </c>
      <c r="K580" s="20">
        <v>450.36</v>
      </c>
      <c r="L580" s="23">
        <v>2.5</v>
      </c>
      <c r="M580" s="20">
        <v>11.26</v>
      </c>
      <c r="N580" s="23">
        <v>2.5</v>
      </c>
      <c r="O580" s="20">
        <v>11.26</v>
      </c>
      <c r="P580" s="20">
        <v>472.88</v>
      </c>
    </row>
    <row r="581" spans="1:16" x14ac:dyDescent="0.35">
      <c r="A581">
        <v>582</v>
      </c>
      <c r="B581" t="s">
        <v>1020</v>
      </c>
      <c r="C581" t="s">
        <v>1030</v>
      </c>
      <c r="D581">
        <v>1</v>
      </c>
      <c r="E581" t="s">
        <v>95</v>
      </c>
      <c r="F581" s="2">
        <v>45960</v>
      </c>
      <c r="G581" s="3">
        <v>46539</v>
      </c>
      <c r="H581" s="20">
        <v>252.14545454545453</v>
      </c>
      <c r="I581" s="20">
        <v>364.03</v>
      </c>
      <c r="J581" s="20">
        <v>277.36</v>
      </c>
      <c r="K581" s="20">
        <v>269.04000000000002</v>
      </c>
      <c r="L581" s="23">
        <v>2.5</v>
      </c>
      <c r="M581" s="20">
        <v>6.73</v>
      </c>
      <c r="N581" s="23">
        <v>2.5</v>
      </c>
      <c r="O581" s="20">
        <v>6.73</v>
      </c>
      <c r="P581" s="20">
        <v>282.5</v>
      </c>
    </row>
    <row r="582" spans="1:16" x14ac:dyDescent="0.35">
      <c r="A582">
        <v>583</v>
      </c>
      <c r="B582" t="s">
        <v>1021</v>
      </c>
      <c r="C582" t="s">
        <v>1031</v>
      </c>
      <c r="D582">
        <v>2</v>
      </c>
      <c r="E582" t="s">
        <v>95</v>
      </c>
      <c r="F582" s="2">
        <v>45960</v>
      </c>
      <c r="G582" s="3">
        <v>46478</v>
      </c>
      <c r="H582" s="20">
        <v>208.44545454545451</v>
      </c>
      <c r="I582" s="20">
        <v>300.94</v>
      </c>
      <c r="J582" s="20">
        <v>229.29</v>
      </c>
      <c r="K582" s="20">
        <v>444.82</v>
      </c>
      <c r="L582" s="23">
        <v>2.5</v>
      </c>
      <c r="M582" s="20">
        <v>11.12</v>
      </c>
      <c r="N582" s="23">
        <v>2.5</v>
      </c>
      <c r="O582" s="20">
        <v>11.12</v>
      </c>
      <c r="P582" s="20">
        <v>467.06</v>
      </c>
    </row>
    <row r="583" spans="1:16" x14ac:dyDescent="0.35">
      <c r="A583">
        <v>584</v>
      </c>
      <c r="B583" t="s">
        <v>1022</v>
      </c>
      <c r="C583" t="s">
        <v>1032</v>
      </c>
      <c r="D583">
        <v>1</v>
      </c>
      <c r="E583" t="s">
        <v>95</v>
      </c>
      <c r="F583" s="2">
        <v>45960</v>
      </c>
      <c r="G583" s="3">
        <v>46539</v>
      </c>
      <c r="H583" s="20">
        <v>232.40909090909091</v>
      </c>
      <c r="I583" s="20">
        <v>335.53</v>
      </c>
      <c r="J583" s="20">
        <v>255.65</v>
      </c>
      <c r="K583" s="20">
        <v>247.98</v>
      </c>
      <c r="L583" s="23">
        <v>2.5</v>
      </c>
      <c r="M583" s="20">
        <v>6.2</v>
      </c>
      <c r="N583" s="23">
        <v>2.5</v>
      </c>
      <c r="O583" s="20">
        <v>6.2</v>
      </c>
      <c r="P583" s="20">
        <v>260.38</v>
      </c>
    </row>
  </sheetData>
  <autoFilter ref="A1:P583" xr:uid="{6D24DD16-D039-4E3C-8A5D-2567754724B0}">
    <sortState xmlns:xlrd2="http://schemas.microsoft.com/office/spreadsheetml/2017/richdata2" ref="A2:P583">
      <sortCondition ref="A1:A583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CD79-89B4-430B-B99F-1642F473CADF}">
  <dimension ref="A1:F46"/>
  <sheetViews>
    <sheetView zoomScale="55" workbookViewId="0">
      <selection activeCell="B28" sqref="B28:B46"/>
    </sheetView>
  </sheetViews>
  <sheetFormatPr defaultRowHeight="14.5" x14ac:dyDescent="0.35"/>
  <cols>
    <col min="1" max="1" width="10.08984375" customWidth="1"/>
    <col min="2" max="2" width="20.1796875" customWidth="1"/>
    <col min="3" max="3" width="15.90625" customWidth="1"/>
    <col min="4" max="4" width="20.6328125" style="7" customWidth="1"/>
    <col min="5" max="5" width="25.1796875" style="7" customWidth="1"/>
    <col min="6" max="6" width="23.08984375" style="20" customWidth="1"/>
  </cols>
  <sheetData>
    <row r="1" spans="1:6" s="5" customFormat="1" x14ac:dyDescent="0.35">
      <c r="A1" s="5" t="s">
        <v>0</v>
      </c>
      <c r="B1" s="5" t="s">
        <v>1</v>
      </c>
      <c r="C1" s="5" t="s">
        <v>2</v>
      </c>
      <c r="D1" s="9" t="s">
        <v>1038</v>
      </c>
      <c r="E1" s="9" t="s">
        <v>1037</v>
      </c>
      <c r="F1" s="24" t="s">
        <v>1040</v>
      </c>
    </row>
    <row r="2" spans="1:6" x14ac:dyDescent="0.35">
      <c r="A2">
        <v>1</v>
      </c>
      <c r="B2" t="s">
        <v>1039</v>
      </c>
      <c r="C2">
        <v>15</v>
      </c>
      <c r="D2" s="7">
        <v>45200</v>
      </c>
      <c r="E2" s="7">
        <v>45901</v>
      </c>
      <c r="F2" s="20">
        <v>169</v>
      </c>
    </row>
    <row r="3" spans="1:6" x14ac:dyDescent="0.35">
      <c r="A3">
        <v>2</v>
      </c>
      <c r="B3" t="s">
        <v>1041</v>
      </c>
      <c r="C3">
        <v>5</v>
      </c>
      <c r="D3" s="7">
        <v>45231</v>
      </c>
      <c r="E3" s="7">
        <v>45962</v>
      </c>
      <c r="F3" s="20">
        <v>263</v>
      </c>
    </row>
    <row r="4" spans="1:6" x14ac:dyDescent="0.35">
      <c r="A4">
        <v>3</v>
      </c>
      <c r="B4" t="s">
        <v>1042</v>
      </c>
      <c r="C4">
        <v>35</v>
      </c>
      <c r="D4" s="7">
        <v>44896</v>
      </c>
      <c r="E4" s="7">
        <v>45962</v>
      </c>
      <c r="F4" s="20">
        <v>299</v>
      </c>
    </row>
    <row r="5" spans="1:6" x14ac:dyDescent="0.35">
      <c r="A5">
        <v>4</v>
      </c>
      <c r="B5" s="8" t="s">
        <v>1108</v>
      </c>
      <c r="C5">
        <v>25</v>
      </c>
      <c r="D5" s="7">
        <v>45292</v>
      </c>
      <c r="E5" s="7">
        <v>45992</v>
      </c>
      <c r="F5" s="20">
        <v>191.66</v>
      </c>
    </row>
    <row r="6" spans="1:6" x14ac:dyDescent="0.35">
      <c r="A6">
        <v>5</v>
      </c>
      <c r="B6" s="8" t="s">
        <v>1100</v>
      </c>
      <c r="C6">
        <v>15</v>
      </c>
      <c r="D6" s="7">
        <v>45261</v>
      </c>
      <c r="E6" s="7">
        <v>45962</v>
      </c>
      <c r="F6" s="20">
        <v>70.56</v>
      </c>
    </row>
    <row r="7" spans="1:6" x14ac:dyDescent="0.35">
      <c r="A7">
        <v>6</v>
      </c>
      <c r="B7" t="s">
        <v>1043</v>
      </c>
      <c r="C7">
        <v>10</v>
      </c>
      <c r="D7" s="7">
        <v>45231</v>
      </c>
      <c r="E7" s="7">
        <v>45839</v>
      </c>
      <c r="F7" s="20">
        <v>184.47</v>
      </c>
    </row>
    <row r="8" spans="1:6" x14ac:dyDescent="0.35">
      <c r="A8">
        <v>7</v>
      </c>
      <c r="B8" s="8" t="s">
        <v>1101</v>
      </c>
      <c r="C8">
        <v>15</v>
      </c>
      <c r="D8" s="7">
        <v>45108</v>
      </c>
      <c r="E8" s="7">
        <v>45992</v>
      </c>
      <c r="F8" s="20">
        <v>143.37</v>
      </c>
    </row>
    <row r="9" spans="1:6" x14ac:dyDescent="0.35">
      <c r="A9">
        <v>8</v>
      </c>
      <c r="B9" t="s">
        <v>1044</v>
      </c>
      <c r="C9">
        <v>10</v>
      </c>
      <c r="D9" s="7">
        <v>45292</v>
      </c>
      <c r="E9" s="7">
        <v>45901</v>
      </c>
      <c r="F9" s="20">
        <v>64.28</v>
      </c>
    </row>
    <row r="10" spans="1:6" x14ac:dyDescent="0.35">
      <c r="A10">
        <v>9</v>
      </c>
      <c r="B10" s="8" t="s">
        <v>1102</v>
      </c>
      <c r="C10">
        <v>8</v>
      </c>
      <c r="D10" s="7">
        <v>44958</v>
      </c>
      <c r="E10" s="7">
        <v>46023</v>
      </c>
      <c r="F10" s="20">
        <v>249</v>
      </c>
    </row>
    <row r="11" spans="1:6" x14ac:dyDescent="0.35">
      <c r="A11">
        <v>10</v>
      </c>
      <c r="B11" t="s">
        <v>1045</v>
      </c>
      <c r="C11">
        <v>9</v>
      </c>
      <c r="D11" s="7">
        <v>44896</v>
      </c>
      <c r="E11" s="7">
        <v>45962</v>
      </c>
      <c r="F11" s="20">
        <v>54</v>
      </c>
    </row>
    <row r="12" spans="1:6" x14ac:dyDescent="0.35">
      <c r="A12">
        <v>11</v>
      </c>
      <c r="B12" s="8" t="s">
        <v>1103</v>
      </c>
      <c r="C12">
        <v>20</v>
      </c>
      <c r="D12" s="7">
        <v>44927</v>
      </c>
      <c r="E12" s="7">
        <v>45992</v>
      </c>
      <c r="F12" s="20">
        <v>32.04</v>
      </c>
    </row>
    <row r="13" spans="1:6" x14ac:dyDescent="0.35">
      <c r="A13">
        <v>12</v>
      </c>
      <c r="B13" s="8" t="s">
        <v>1109</v>
      </c>
      <c r="C13">
        <v>9</v>
      </c>
      <c r="D13" s="7">
        <v>45323</v>
      </c>
      <c r="E13" s="7">
        <v>45809</v>
      </c>
      <c r="F13" s="20">
        <v>64.959999999999994</v>
      </c>
    </row>
    <row r="14" spans="1:6" x14ac:dyDescent="0.35">
      <c r="A14">
        <v>13</v>
      </c>
      <c r="B14" t="s">
        <v>1046</v>
      </c>
      <c r="C14">
        <v>15</v>
      </c>
      <c r="D14" s="7">
        <v>45200</v>
      </c>
      <c r="E14" s="7">
        <v>45901</v>
      </c>
      <c r="F14" s="20">
        <v>133.75</v>
      </c>
    </row>
    <row r="15" spans="1:6" x14ac:dyDescent="0.35">
      <c r="A15">
        <v>14</v>
      </c>
      <c r="B15" t="s">
        <v>1047</v>
      </c>
      <c r="C15">
        <v>5</v>
      </c>
      <c r="D15" s="7">
        <v>45413</v>
      </c>
      <c r="E15" s="7">
        <v>45962</v>
      </c>
      <c r="F15" s="20">
        <v>726</v>
      </c>
    </row>
    <row r="16" spans="1:6" x14ac:dyDescent="0.35">
      <c r="A16">
        <v>15</v>
      </c>
      <c r="B16" t="s">
        <v>1048</v>
      </c>
      <c r="C16">
        <v>5</v>
      </c>
      <c r="D16" s="7">
        <v>45231</v>
      </c>
      <c r="E16" s="7">
        <v>45962</v>
      </c>
      <c r="F16" s="20">
        <v>305</v>
      </c>
    </row>
    <row r="17" spans="1:6" x14ac:dyDescent="0.35">
      <c r="A17">
        <v>16</v>
      </c>
      <c r="B17" t="s">
        <v>1049</v>
      </c>
      <c r="C17">
        <v>8</v>
      </c>
      <c r="D17" s="7">
        <v>45323</v>
      </c>
      <c r="E17" s="7">
        <v>42217</v>
      </c>
      <c r="F17" s="20">
        <v>850</v>
      </c>
    </row>
    <row r="18" spans="1:6" x14ac:dyDescent="0.35">
      <c r="A18">
        <v>17</v>
      </c>
      <c r="B18" t="s">
        <v>1050</v>
      </c>
      <c r="C18">
        <v>10</v>
      </c>
      <c r="D18" s="7">
        <v>45566</v>
      </c>
      <c r="E18" s="7">
        <v>45992</v>
      </c>
      <c r="F18" s="20">
        <v>247.5</v>
      </c>
    </row>
    <row r="19" spans="1:6" x14ac:dyDescent="0.35">
      <c r="A19">
        <v>18</v>
      </c>
      <c r="B19" s="8" t="s">
        <v>1104</v>
      </c>
      <c r="C19">
        <v>20</v>
      </c>
      <c r="D19" s="7">
        <v>45689</v>
      </c>
      <c r="E19" s="7">
        <v>46023</v>
      </c>
      <c r="F19" s="20">
        <v>108.05</v>
      </c>
    </row>
    <row r="20" spans="1:6" x14ac:dyDescent="0.35">
      <c r="A20">
        <v>19</v>
      </c>
      <c r="B20" t="s">
        <v>1051</v>
      </c>
      <c r="C20">
        <v>9</v>
      </c>
      <c r="D20" s="7">
        <v>45292</v>
      </c>
      <c r="E20" s="7">
        <v>45992</v>
      </c>
      <c r="F20" s="20">
        <v>221.35</v>
      </c>
    </row>
    <row r="21" spans="1:6" x14ac:dyDescent="0.35">
      <c r="A21">
        <v>20</v>
      </c>
      <c r="B21" s="8" t="s">
        <v>1105</v>
      </c>
      <c r="C21">
        <v>14</v>
      </c>
      <c r="D21" s="7">
        <v>45261</v>
      </c>
      <c r="E21" s="7">
        <v>45962</v>
      </c>
      <c r="F21" s="20">
        <v>443.76</v>
      </c>
    </row>
    <row r="22" spans="1:6" x14ac:dyDescent="0.35">
      <c r="A22">
        <v>21</v>
      </c>
      <c r="B22" t="s">
        <v>1052</v>
      </c>
      <c r="C22">
        <v>10</v>
      </c>
      <c r="D22" s="7">
        <v>45139</v>
      </c>
      <c r="E22" s="7">
        <v>45839</v>
      </c>
      <c r="F22" s="20">
        <v>52</v>
      </c>
    </row>
    <row r="23" spans="1:6" x14ac:dyDescent="0.35">
      <c r="A23">
        <v>22</v>
      </c>
      <c r="B23" t="s">
        <v>1053</v>
      </c>
      <c r="C23">
        <v>7</v>
      </c>
      <c r="D23" s="7">
        <v>45261</v>
      </c>
      <c r="E23" s="7">
        <v>45962</v>
      </c>
      <c r="F23" s="20">
        <v>60</v>
      </c>
    </row>
    <row r="24" spans="1:6" x14ac:dyDescent="0.35">
      <c r="A24">
        <v>23</v>
      </c>
      <c r="B24" s="8" t="s">
        <v>1106</v>
      </c>
      <c r="C24">
        <v>10</v>
      </c>
      <c r="D24" s="7">
        <v>45078</v>
      </c>
      <c r="E24" s="7">
        <v>45962</v>
      </c>
      <c r="F24" s="20">
        <v>199</v>
      </c>
    </row>
    <row r="25" spans="1:6" x14ac:dyDescent="0.35">
      <c r="A25">
        <v>24</v>
      </c>
      <c r="B25" t="s">
        <v>1054</v>
      </c>
      <c r="C25">
        <v>6</v>
      </c>
      <c r="D25" s="7">
        <v>45231</v>
      </c>
      <c r="E25" s="7">
        <v>45962</v>
      </c>
      <c r="F25" s="20">
        <v>350</v>
      </c>
    </row>
    <row r="26" spans="1:6" x14ac:dyDescent="0.35">
      <c r="A26">
        <v>25</v>
      </c>
      <c r="B26" t="s">
        <v>1055</v>
      </c>
      <c r="C26">
        <v>7</v>
      </c>
      <c r="D26" s="7">
        <v>45261</v>
      </c>
      <c r="E26" s="7">
        <v>45962</v>
      </c>
      <c r="F26" s="20">
        <v>33.340000000000003</v>
      </c>
    </row>
    <row r="27" spans="1:6" x14ac:dyDescent="0.35">
      <c r="A27">
        <v>26</v>
      </c>
      <c r="B27" s="8" t="s">
        <v>1107</v>
      </c>
      <c r="C27">
        <v>10</v>
      </c>
      <c r="D27" s="7">
        <v>45261</v>
      </c>
      <c r="E27" s="7">
        <v>45962</v>
      </c>
      <c r="F27" s="20">
        <v>13.55</v>
      </c>
    </row>
    <row r="28" spans="1:6" x14ac:dyDescent="0.35">
      <c r="A28">
        <v>27</v>
      </c>
      <c r="B28" t="s">
        <v>1056</v>
      </c>
      <c r="C28">
        <v>25</v>
      </c>
      <c r="D28" s="7">
        <v>45261</v>
      </c>
      <c r="E28" s="7">
        <v>45962</v>
      </c>
      <c r="F28" s="20">
        <v>274.75</v>
      </c>
    </row>
    <row r="29" spans="1:6" x14ac:dyDescent="0.35">
      <c r="A29">
        <v>28</v>
      </c>
      <c r="B29" s="8" t="s">
        <v>1110</v>
      </c>
      <c r="C29">
        <v>15</v>
      </c>
      <c r="D29" s="7">
        <v>45323</v>
      </c>
      <c r="E29" s="7">
        <v>46023</v>
      </c>
      <c r="F29" s="20">
        <v>126.5</v>
      </c>
    </row>
    <row r="30" spans="1:6" x14ac:dyDescent="0.35">
      <c r="A30">
        <v>29</v>
      </c>
      <c r="B30" t="s">
        <v>1057</v>
      </c>
      <c r="C30">
        <v>8</v>
      </c>
      <c r="D30" s="7">
        <v>45292</v>
      </c>
      <c r="E30" s="7">
        <v>45992</v>
      </c>
      <c r="F30" s="20">
        <v>225</v>
      </c>
    </row>
    <row r="31" spans="1:6" x14ac:dyDescent="0.35">
      <c r="A31">
        <v>30</v>
      </c>
      <c r="B31" t="s">
        <v>1058</v>
      </c>
      <c r="C31">
        <v>15</v>
      </c>
      <c r="D31" s="7">
        <v>45292</v>
      </c>
      <c r="E31" s="7">
        <v>45992</v>
      </c>
      <c r="F31" s="20">
        <v>225</v>
      </c>
    </row>
    <row r="32" spans="1:6" x14ac:dyDescent="0.35">
      <c r="A32">
        <v>31</v>
      </c>
      <c r="B32" t="s">
        <v>1059</v>
      </c>
      <c r="C32">
        <v>9</v>
      </c>
      <c r="D32" s="7">
        <v>44927</v>
      </c>
      <c r="E32" s="7">
        <v>45992</v>
      </c>
      <c r="F32" s="20">
        <v>175.56</v>
      </c>
    </row>
    <row r="33" spans="1:6" x14ac:dyDescent="0.35">
      <c r="A33">
        <v>32</v>
      </c>
      <c r="B33" t="s">
        <v>1060</v>
      </c>
      <c r="C33">
        <v>9</v>
      </c>
      <c r="D33" s="7">
        <v>44896</v>
      </c>
      <c r="E33" s="7">
        <v>45962</v>
      </c>
      <c r="F33" s="20">
        <v>56.22</v>
      </c>
    </row>
    <row r="34" spans="1:6" x14ac:dyDescent="0.35">
      <c r="A34">
        <v>33</v>
      </c>
      <c r="B34" t="s">
        <v>1061</v>
      </c>
      <c r="C34">
        <v>12</v>
      </c>
      <c r="D34" s="7">
        <v>45139</v>
      </c>
      <c r="E34" s="7">
        <v>45839</v>
      </c>
      <c r="F34" s="20">
        <v>142</v>
      </c>
    </row>
    <row r="35" spans="1:6" x14ac:dyDescent="0.35">
      <c r="A35">
        <v>34</v>
      </c>
      <c r="B35" t="s">
        <v>1062</v>
      </c>
      <c r="C35">
        <v>7</v>
      </c>
      <c r="D35" s="7">
        <v>45292</v>
      </c>
      <c r="E35" s="7">
        <v>45992</v>
      </c>
      <c r="F35" s="20">
        <v>247</v>
      </c>
    </row>
    <row r="36" spans="1:6" x14ac:dyDescent="0.35">
      <c r="A36">
        <v>35</v>
      </c>
      <c r="B36" t="s">
        <v>1063</v>
      </c>
      <c r="C36">
        <v>15</v>
      </c>
      <c r="D36" s="7">
        <v>45231</v>
      </c>
      <c r="E36" s="7">
        <v>45931</v>
      </c>
      <c r="F36" s="20">
        <v>269</v>
      </c>
    </row>
    <row r="37" spans="1:6" x14ac:dyDescent="0.35">
      <c r="A37">
        <v>36</v>
      </c>
      <c r="B37" t="s">
        <v>1080</v>
      </c>
      <c r="C37">
        <v>12</v>
      </c>
      <c r="D37" s="7">
        <v>45292</v>
      </c>
      <c r="E37" s="7">
        <v>45931</v>
      </c>
      <c r="F37" s="20">
        <v>365</v>
      </c>
    </row>
    <row r="38" spans="1:6" x14ac:dyDescent="0.35">
      <c r="A38">
        <v>37</v>
      </c>
      <c r="B38" t="s">
        <v>1081</v>
      </c>
      <c r="C38">
        <v>5</v>
      </c>
      <c r="D38" s="7">
        <v>45261</v>
      </c>
      <c r="E38" s="7">
        <v>45962</v>
      </c>
      <c r="F38" s="20">
        <v>174.5</v>
      </c>
    </row>
    <row r="39" spans="1:6" x14ac:dyDescent="0.35">
      <c r="A39">
        <v>38</v>
      </c>
      <c r="B39" t="s">
        <v>1082</v>
      </c>
      <c r="C39">
        <v>7</v>
      </c>
      <c r="D39" s="7">
        <v>45839</v>
      </c>
      <c r="E39" s="7">
        <v>45992</v>
      </c>
      <c r="F39" s="20">
        <v>180</v>
      </c>
    </row>
    <row r="40" spans="1:6" x14ac:dyDescent="0.35">
      <c r="A40">
        <v>39</v>
      </c>
      <c r="B40" t="s">
        <v>1083</v>
      </c>
      <c r="C40">
        <v>15</v>
      </c>
      <c r="D40" s="7">
        <v>45261</v>
      </c>
      <c r="E40" s="7">
        <v>46023</v>
      </c>
      <c r="F40" s="20">
        <v>63.5</v>
      </c>
    </row>
    <row r="41" spans="1:6" x14ac:dyDescent="0.35">
      <c r="A41">
        <v>40</v>
      </c>
      <c r="B41" t="s">
        <v>1084</v>
      </c>
      <c r="C41">
        <v>10</v>
      </c>
      <c r="D41" s="7">
        <v>45078</v>
      </c>
      <c r="E41" s="7">
        <v>45962</v>
      </c>
      <c r="F41" s="20">
        <v>219</v>
      </c>
    </row>
    <row r="42" spans="1:6" x14ac:dyDescent="0.35">
      <c r="A42">
        <v>41</v>
      </c>
      <c r="B42" t="s">
        <v>1085</v>
      </c>
      <c r="C42">
        <v>20</v>
      </c>
      <c r="D42" s="7">
        <v>45261</v>
      </c>
      <c r="E42" s="7">
        <v>45839</v>
      </c>
      <c r="F42" s="20">
        <v>65</v>
      </c>
    </row>
    <row r="43" spans="1:6" x14ac:dyDescent="0.35">
      <c r="A43">
        <v>42</v>
      </c>
      <c r="B43" t="s">
        <v>1086</v>
      </c>
      <c r="C43">
        <v>12</v>
      </c>
      <c r="D43" s="7">
        <v>44958</v>
      </c>
      <c r="E43" s="7">
        <v>45931</v>
      </c>
      <c r="F43" s="20">
        <v>45.5</v>
      </c>
    </row>
    <row r="44" spans="1:6" x14ac:dyDescent="0.35">
      <c r="A44">
        <v>43</v>
      </c>
      <c r="B44" t="s">
        <v>1087</v>
      </c>
      <c r="C44">
        <v>10</v>
      </c>
      <c r="D44" s="7">
        <v>45444</v>
      </c>
      <c r="E44" s="7">
        <v>45962</v>
      </c>
      <c r="F44" s="20">
        <v>76.88</v>
      </c>
    </row>
    <row r="45" spans="1:6" x14ac:dyDescent="0.35">
      <c r="A45">
        <v>44</v>
      </c>
      <c r="B45" t="s">
        <v>1088</v>
      </c>
      <c r="C45">
        <v>15</v>
      </c>
      <c r="D45" s="7">
        <v>44986</v>
      </c>
      <c r="E45" s="7">
        <v>45992</v>
      </c>
      <c r="F45" s="20">
        <v>19</v>
      </c>
    </row>
    <row r="46" spans="1:6" x14ac:dyDescent="0.35">
      <c r="A46">
        <v>45</v>
      </c>
      <c r="B46" t="s">
        <v>1089</v>
      </c>
      <c r="C46">
        <v>20</v>
      </c>
      <c r="D46" s="7">
        <v>45292</v>
      </c>
      <c r="E46" s="7">
        <v>45901</v>
      </c>
      <c r="F46" s="20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76AE-3E30-4EC8-BF39-0A1777BCD25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09C2-B67B-4E0E-85EE-4D12712138BC}">
  <dimension ref="A1:N584"/>
  <sheetViews>
    <sheetView zoomScale="46" zoomScaleNormal="10" workbookViewId="0">
      <selection activeCell="M22" sqref="M22"/>
    </sheetView>
  </sheetViews>
  <sheetFormatPr defaultRowHeight="14.5" x14ac:dyDescent="0.35"/>
  <cols>
    <col min="1" max="1" width="17.26953125" customWidth="1"/>
    <col min="2" max="2" width="31.26953125" customWidth="1"/>
    <col min="3" max="3" width="25.26953125" customWidth="1"/>
    <col min="4" max="4" width="12.453125" customWidth="1"/>
    <col min="5" max="5" width="25.36328125" customWidth="1"/>
    <col min="6" max="6" width="18.81640625" customWidth="1"/>
    <col min="7" max="7" width="14.36328125" style="20" customWidth="1"/>
    <col min="8" max="8" width="15.90625" style="20" customWidth="1"/>
    <col min="9" max="9" width="16.26953125" style="20" customWidth="1"/>
    <col min="10" max="10" width="21.453125" style="20" customWidth="1"/>
    <col min="11" max="11" width="30.6328125" style="20" customWidth="1"/>
    <col min="12" max="12" width="33" customWidth="1"/>
    <col min="13" max="13" width="29.08984375" style="2" customWidth="1"/>
    <col min="14" max="14" width="42.90625" customWidth="1"/>
  </cols>
  <sheetData>
    <row r="1" spans="1:14" x14ac:dyDescent="0.35">
      <c r="A1" s="6" t="s">
        <v>0</v>
      </c>
      <c r="B1" s="6" t="s">
        <v>1</v>
      </c>
      <c r="C1" s="5" t="s">
        <v>390</v>
      </c>
      <c r="D1" s="6" t="s">
        <v>2</v>
      </c>
      <c r="E1" s="6" t="s">
        <v>10</v>
      </c>
      <c r="F1" s="6" t="s">
        <v>1092</v>
      </c>
      <c r="G1" s="21" t="s">
        <v>6</v>
      </c>
      <c r="H1" s="21" t="s">
        <v>5</v>
      </c>
      <c r="I1" s="21" t="s">
        <v>9</v>
      </c>
      <c r="J1" s="21" t="s">
        <v>1066</v>
      </c>
      <c r="K1" s="21" t="s">
        <v>1090</v>
      </c>
      <c r="N1" s="21"/>
    </row>
    <row r="2" spans="1:14" x14ac:dyDescent="0.35">
      <c r="A2">
        <v>1</v>
      </c>
      <c r="B2" t="s">
        <v>12</v>
      </c>
      <c r="C2" t="s">
        <v>361</v>
      </c>
      <c r="D2">
        <v>1</v>
      </c>
      <c r="E2" t="s">
        <v>37</v>
      </c>
      <c r="F2" s="2">
        <v>45931</v>
      </c>
      <c r="G2" s="20">
        <v>155.31818181818181</v>
      </c>
      <c r="H2" s="20">
        <v>170.85</v>
      </c>
      <c r="I2" s="20">
        <v>195.54</v>
      </c>
      <c r="J2" s="20">
        <f t="shared" ref="J2:J65" si="0">H2-G2</f>
        <v>15.531818181818181</v>
      </c>
      <c r="K2" s="20">
        <f t="shared" ref="K2:K65" si="1">J2*D2</f>
        <v>15.531818181818181</v>
      </c>
    </row>
    <row r="3" spans="1:14" x14ac:dyDescent="0.35">
      <c r="A3">
        <v>2</v>
      </c>
      <c r="B3" t="s">
        <v>11</v>
      </c>
      <c r="C3" t="s">
        <v>361</v>
      </c>
      <c r="D3">
        <v>2</v>
      </c>
      <c r="E3" t="s">
        <v>37</v>
      </c>
      <c r="F3" s="2">
        <v>45931</v>
      </c>
      <c r="G3" s="20">
        <v>546.1</v>
      </c>
      <c r="H3" s="20">
        <v>600.71</v>
      </c>
      <c r="I3" s="20">
        <v>1223.6400000000001</v>
      </c>
      <c r="J3" s="20">
        <f t="shared" si="0"/>
        <v>54.610000000000014</v>
      </c>
      <c r="K3" s="20">
        <f t="shared" si="1"/>
        <v>109.22000000000003</v>
      </c>
    </row>
    <row r="4" spans="1:14" x14ac:dyDescent="0.35">
      <c r="A4">
        <v>3</v>
      </c>
      <c r="B4" t="s">
        <v>13</v>
      </c>
      <c r="C4" t="s">
        <v>361</v>
      </c>
      <c r="D4">
        <v>2</v>
      </c>
      <c r="E4" t="s">
        <v>37</v>
      </c>
      <c r="F4" s="2">
        <v>45931</v>
      </c>
      <c r="G4" s="20">
        <v>323.58181818181816</v>
      </c>
      <c r="H4" s="20">
        <v>355.94</v>
      </c>
      <c r="I4" s="20">
        <v>814.82</v>
      </c>
      <c r="J4" s="20">
        <f t="shared" si="0"/>
        <v>32.358181818181833</v>
      </c>
      <c r="K4" s="20">
        <f t="shared" si="1"/>
        <v>64.716363636363667</v>
      </c>
    </row>
    <row r="5" spans="1:14" x14ac:dyDescent="0.35">
      <c r="A5">
        <v>4</v>
      </c>
      <c r="B5" t="s">
        <v>14</v>
      </c>
      <c r="C5" t="s">
        <v>1076</v>
      </c>
      <c r="D5">
        <v>5</v>
      </c>
      <c r="E5" t="s">
        <v>37</v>
      </c>
      <c r="F5" s="2">
        <v>45931</v>
      </c>
      <c r="G5" s="20">
        <v>219.48181818181817</v>
      </c>
      <c r="H5" s="20">
        <v>241.43</v>
      </c>
      <c r="I5" s="20">
        <v>1229.48</v>
      </c>
      <c r="J5" s="20">
        <f t="shared" si="0"/>
        <v>21.948181818181837</v>
      </c>
      <c r="K5" s="20">
        <f t="shared" si="1"/>
        <v>109.74090909090918</v>
      </c>
    </row>
    <row r="6" spans="1:14" x14ac:dyDescent="0.35">
      <c r="A6">
        <v>5</v>
      </c>
      <c r="B6" t="s">
        <v>15</v>
      </c>
      <c r="C6" t="s">
        <v>361</v>
      </c>
      <c r="D6">
        <v>3</v>
      </c>
      <c r="E6" t="s">
        <v>37</v>
      </c>
      <c r="F6" s="2">
        <v>45931</v>
      </c>
      <c r="G6" s="20">
        <v>225.97272727272724</v>
      </c>
      <c r="H6" s="20">
        <v>248.57</v>
      </c>
      <c r="I6" s="20">
        <v>759.5</v>
      </c>
      <c r="J6" s="20">
        <f t="shared" si="0"/>
        <v>22.597272727272752</v>
      </c>
      <c r="K6" s="20">
        <f t="shared" si="1"/>
        <v>67.791818181818257</v>
      </c>
    </row>
    <row r="7" spans="1:14" x14ac:dyDescent="0.35">
      <c r="A7">
        <v>6</v>
      </c>
      <c r="B7" t="s">
        <v>16</v>
      </c>
      <c r="C7" t="s">
        <v>361</v>
      </c>
      <c r="D7">
        <v>1</v>
      </c>
      <c r="E7" t="s">
        <v>37</v>
      </c>
      <c r="F7" s="2">
        <v>45931</v>
      </c>
      <c r="G7" s="20">
        <v>169.49090909090901</v>
      </c>
      <c r="H7" s="20">
        <v>186.44</v>
      </c>
      <c r="I7" s="20">
        <v>220</v>
      </c>
      <c r="J7" s="20">
        <f t="shared" si="0"/>
        <v>16.949090909090984</v>
      </c>
      <c r="K7" s="20">
        <f t="shared" si="1"/>
        <v>16.949090909090984</v>
      </c>
    </row>
    <row r="8" spans="1:14" x14ac:dyDescent="0.35">
      <c r="A8">
        <v>7</v>
      </c>
      <c r="B8" t="s">
        <v>17</v>
      </c>
      <c r="C8" t="s">
        <v>1076</v>
      </c>
      <c r="D8">
        <v>1</v>
      </c>
      <c r="E8" t="s">
        <v>37</v>
      </c>
      <c r="F8" s="2">
        <v>45931</v>
      </c>
      <c r="G8" s="20">
        <v>146.1</v>
      </c>
      <c r="H8" s="20">
        <v>160.71</v>
      </c>
      <c r="I8" s="20">
        <v>163.69</v>
      </c>
      <c r="J8" s="20">
        <f t="shared" si="0"/>
        <v>14.610000000000014</v>
      </c>
      <c r="K8" s="20">
        <f t="shared" si="1"/>
        <v>14.610000000000014</v>
      </c>
    </row>
    <row r="9" spans="1:14" x14ac:dyDescent="0.35">
      <c r="A9">
        <v>8</v>
      </c>
      <c r="B9" t="s">
        <v>18</v>
      </c>
      <c r="C9" t="s">
        <v>1076</v>
      </c>
      <c r="D9">
        <v>3</v>
      </c>
      <c r="E9" t="s">
        <v>37</v>
      </c>
      <c r="F9" s="2">
        <v>45931</v>
      </c>
      <c r="G9" s="20">
        <v>135.71818181818179</v>
      </c>
      <c r="H9" s="20">
        <v>149.29</v>
      </c>
      <c r="I9" s="20">
        <v>456.15</v>
      </c>
      <c r="J9" s="20">
        <f t="shared" si="0"/>
        <v>13.571818181818202</v>
      </c>
      <c r="K9" s="20">
        <f t="shared" si="1"/>
        <v>40.715454545454605</v>
      </c>
    </row>
    <row r="10" spans="1:14" x14ac:dyDescent="0.35">
      <c r="A10">
        <v>9</v>
      </c>
      <c r="B10" t="s">
        <v>19</v>
      </c>
      <c r="C10" t="s">
        <v>1076</v>
      </c>
      <c r="D10">
        <v>5</v>
      </c>
      <c r="E10" t="s">
        <v>37</v>
      </c>
      <c r="F10" s="2">
        <v>45931</v>
      </c>
      <c r="G10" s="20">
        <v>123.37272727272727</v>
      </c>
      <c r="H10" s="20">
        <v>135.71</v>
      </c>
      <c r="I10" s="20">
        <v>691.09</v>
      </c>
      <c r="J10" s="20">
        <f t="shared" si="0"/>
        <v>12.337272727272733</v>
      </c>
      <c r="K10" s="20">
        <f t="shared" si="1"/>
        <v>61.686363636363666</v>
      </c>
    </row>
    <row r="11" spans="1:14" x14ac:dyDescent="0.35">
      <c r="A11">
        <v>10</v>
      </c>
      <c r="B11" t="s">
        <v>20</v>
      </c>
      <c r="C11" t="s">
        <v>1076</v>
      </c>
      <c r="D11">
        <v>5</v>
      </c>
      <c r="E11" t="s">
        <v>37</v>
      </c>
      <c r="F11" s="2">
        <v>45931</v>
      </c>
      <c r="G11" s="20">
        <v>69.581818181818178</v>
      </c>
      <c r="H11" s="20">
        <v>76.540000000000006</v>
      </c>
      <c r="I11" s="20">
        <v>350.8</v>
      </c>
      <c r="J11" s="20">
        <f t="shared" si="0"/>
        <v>6.9581818181818278</v>
      </c>
      <c r="K11" s="20">
        <f t="shared" si="1"/>
        <v>34.790909090909139</v>
      </c>
    </row>
    <row r="12" spans="1:14" x14ac:dyDescent="0.35">
      <c r="A12">
        <v>11</v>
      </c>
      <c r="B12" t="s">
        <v>21</v>
      </c>
      <c r="C12" t="s">
        <v>1077</v>
      </c>
      <c r="D12">
        <v>1</v>
      </c>
      <c r="E12" t="s">
        <v>37</v>
      </c>
      <c r="F12" s="2">
        <v>45931</v>
      </c>
      <c r="G12" s="20">
        <v>218.67272727272726</v>
      </c>
      <c r="H12" s="20">
        <v>240.54</v>
      </c>
      <c r="I12" s="20">
        <v>244.98</v>
      </c>
      <c r="J12" s="20">
        <f t="shared" si="0"/>
        <v>21.867272727272734</v>
      </c>
      <c r="K12" s="20">
        <f t="shared" si="1"/>
        <v>21.867272727272734</v>
      </c>
    </row>
    <row r="13" spans="1:14" x14ac:dyDescent="0.35">
      <c r="A13">
        <v>12</v>
      </c>
      <c r="B13" t="s">
        <v>22</v>
      </c>
      <c r="C13" t="s">
        <v>366</v>
      </c>
      <c r="D13">
        <v>1</v>
      </c>
      <c r="E13" t="s">
        <v>37</v>
      </c>
      <c r="F13" s="2">
        <v>45931</v>
      </c>
      <c r="G13" s="20">
        <v>572.72727272727263</v>
      </c>
      <c r="H13" s="20">
        <v>630</v>
      </c>
      <c r="I13" s="20">
        <v>661.5</v>
      </c>
      <c r="J13" s="20">
        <f t="shared" si="0"/>
        <v>57.272727272727366</v>
      </c>
      <c r="K13" s="20">
        <f t="shared" si="1"/>
        <v>57.272727272727366</v>
      </c>
    </row>
    <row r="14" spans="1:14" x14ac:dyDescent="0.35">
      <c r="A14">
        <v>13</v>
      </c>
      <c r="B14" t="s">
        <v>23</v>
      </c>
      <c r="C14" t="s">
        <v>1076</v>
      </c>
      <c r="D14">
        <v>10</v>
      </c>
      <c r="E14" t="s">
        <v>37</v>
      </c>
      <c r="F14" s="2">
        <v>45931</v>
      </c>
      <c r="G14" s="20">
        <v>217.5363636363636</v>
      </c>
      <c r="H14" s="20">
        <v>239.29</v>
      </c>
      <c r="I14" s="20">
        <v>2437.17</v>
      </c>
      <c r="J14" s="20">
        <f t="shared" si="0"/>
        <v>21.753636363636389</v>
      </c>
      <c r="K14" s="20">
        <f t="shared" si="1"/>
        <v>217.53636363636389</v>
      </c>
    </row>
    <row r="15" spans="1:14" x14ac:dyDescent="0.35">
      <c r="A15">
        <v>14</v>
      </c>
      <c r="B15" t="s">
        <v>42</v>
      </c>
      <c r="C15" t="s">
        <v>1076</v>
      </c>
      <c r="D15">
        <v>3</v>
      </c>
      <c r="E15" t="s">
        <v>37</v>
      </c>
      <c r="F15" s="2">
        <v>45931</v>
      </c>
      <c r="G15" s="20">
        <v>142.20909090909092</v>
      </c>
      <c r="H15" s="20">
        <v>156.43</v>
      </c>
      <c r="I15" s="20">
        <v>477.97</v>
      </c>
      <c r="J15" s="20">
        <f t="shared" si="0"/>
        <v>14.220909090909089</v>
      </c>
      <c r="K15" s="20">
        <f t="shared" si="1"/>
        <v>42.662727272727267</v>
      </c>
    </row>
    <row r="16" spans="1:14" x14ac:dyDescent="0.35">
      <c r="A16">
        <v>15</v>
      </c>
      <c r="B16" t="s">
        <v>43</v>
      </c>
      <c r="C16" t="s">
        <v>1076</v>
      </c>
      <c r="D16">
        <v>3</v>
      </c>
      <c r="E16" t="s">
        <v>37</v>
      </c>
      <c r="F16" s="2">
        <v>45931</v>
      </c>
      <c r="G16" s="20">
        <v>21.981818181818181</v>
      </c>
      <c r="H16" s="20">
        <v>24.18</v>
      </c>
      <c r="I16" s="20">
        <v>73.88</v>
      </c>
      <c r="J16" s="20">
        <f t="shared" si="0"/>
        <v>2.1981818181818191</v>
      </c>
      <c r="K16" s="20">
        <f t="shared" si="1"/>
        <v>6.5945454545454574</v>
      </c>
    </row>
    <row r="17" spans="1:14" x14ac:dyDescent="0.35">
      <c r="A17">
        <v>16</v>
      </c>
      <c r="B17" t="s">
        <v>43</v>
      </c>
      <c r="C17" t="s">
        <v>1076</v>
      </c>
      <c r="D17">
        <v>6</v>
      </c>
      <c r="E17" t="s">
        <v>37</v>
      </c>
      <c r="F17" s="2">
        <v>45931</v>
      </c>
      <c r="G17" s="20">
        <v>21.981818181818181</v>
      </c>
      <c r="H17" s="20">
        <v>24.18</v>
      </c>
      <c r="I17" s="20">
        <v>147.77000000000001</v>
      </c>
      <c r="J17" s="20">
        <f t="shared" si="0"/>
        <v>2.1981818181818191</v>
      </c>
      <c r="K17" s="20">
        <f t="shared" si="1"/>
        <v>13.189090909090915</v>
      </c>
    </row>
    <row r="18" spans="1:14" x14ac:dyDescent="0.35">
      <c r="A18">
        <v>17</v>
      </c>
      <c r="B18" t="s">
        <v>44</v>
      </c>
      <c r="C18" t="s">
        <v>1075</v>
      </c>
      <c r="D18">
        <v>3</v>
      </c>
      <c r="E18" t="s">
        <v>37</v>
      </c>
      <c r="F18" s="2">
        <v>45931</v>
      </c>
      <c r="G18" s="20">
        <v>172.08181818181816</v>
      </c>
      <c r="H18" s="20">
        <v>189.29</v>
      </c>
      <c r="I18" s="20">
        <v>578.37</v>
      </c>
      <c r="J18" s="20">
        <f t="shared" si="0"/>
        <v>17.208181818181828</v>
      </c>
      <c r="K18" s="20">
        <f t="shared" si="1"/>
        <v>51.624545454545483</v>
      </c>
    </row>
    <row r="19" spans="1:14" x14ac:dyDescent="0.35">
      <c r="A19">
        <v>18</v>
      </c>
      <c r="B19" t="s">
        <v>45</v>
      </c>
      <c r="C19" t="s">
        <v>1076</v>
      </c>
      <c r="D19">
        <v>10</v>
      </c>
      <c r="E19" t="s">
        <v>37</v>
      </c>
      <c r="F19" s="2">
        <v>45931</v>
      </c>
      <c r="G19" s="20">
        <v>87.190909090909088</v>
      </c>
      <c r="H19" s="20">
        <v>95.91</v>
      </c>
      <c r="I19" s="20">
        <v>976.85</v>
      </c>
      <c r="J19" s="20">
        <f t="shared" si="0"/>
        <v>8.7190909090909088</v>
      </c>
      <c r="K19" s="20">
        <f t="shared" si="1"/>
        <v>87.190909090909088</v>
      </c>
      <c r="N19" s="1"/>
    </row>
    <row r="20" spans="1:14" x14ac:dyDescent="0.35">
      <c r="A20">
        <v>19</v>
      </c>
      <c r="B20" t="s">
        <v>46</v>
      </c>
      <c r="C20" t="s">
        <v>1075</v>
      </c>
      <c r="D20">
        <v>10</v>
      </c>
      <c r="E20" t="s">
        <v>37</v>
      </c>
      <c r="F20" s="2">
        <v>45931</v>
      </c>
      <c r="G20" s="20">
        <v>33.118181818181817</v>
      </c>
      <c r="H20" s="20">
        <v>36.43</v>
      </c>
      <c r="I20" s="20">
        <v>371.03</v>
      </c>
      <c r="J20" s="20">
        <f t="shared" si="0"/>
        <v>3.3118181818181824</v>
      </c>
      <c r="K20" s="20">
        <f t="shared" si="1"/>
        <v>33.118181818181824</v>
      </c>
    </row>
    <row r="21" spans="1:14" x14ac:dyDescent="0.35">
      <c r="A21">
        <v>20</v>
      </c>
      <c r="B21" t="s">
        <v>47</v>
      </c>
      <c r="C21" t="s">
        <v>367</v>
      </c>
      <c r="D21">
        <v>10</v>
      </c>
      <c r="E21" t="s">
        <v>37</v>
      </c>
      <c r="F21" s="2">
        <v>45931</v>
      </c>
      <c r="G21" s="20">
        <v>104.13636363636363</v>
      </c>
      <c r="H21" s="20">
        <v>114.55</v>
      </c>
      <c r="I21" s="20">
        <v>1166.7</v>
      </c>
      <c r="J21" s="20">
        <f t="shared" si="0"/>
        <v>10.413636363636371</v>
      </c>
      <c r="K21" s="20">
        <f t="shared" si="1"/>
        <v>104.13636363636371</v>
      </c>
    </row>
    <row r="22" spans="1:14" x14ac:dyDescent="0.35">
      <c r="A22">
        <v>21</v>
      </c>
      <c r="B22" t="s">
        <v>48</v>
      </c>
      <c r="C22" t="s">
        <v>1075</v>
      </c>
      <c r="D22">
        <v>1</v>
      </c>
      <c r="E22" t="s">
        <v>37</v>
      </c>
      <c r="F22" s="2">
        <v>45931</v>
      </c>
      <c r="G22" s="20">
        <v>375.32727272727271</v>
      </c>
      <c r="H22" s="20">
        <v>412.86</v>
      </c>
      <c r="I22" s="20">
        <v>420.49</v>
      </c>
      <c r="J22" s="20">
        <f t="shared" si="0"/>
        <v>37.5327272727273</v>
      </c>
      <c r="K22" s="20">
        <f t="shared" si="1"/>
        <v>37.5327272727273</v>
      </c>
    </row>
    <row r="23" spans="1:14" x14ac:dyDescent="0.35">
      <c r="A23">
        <v>22</v>
      </c>
      <c r="B23" t="s">
        <v>49</v>
      </c>
      <c r="C23" t="s">
        <v>1076</v>
      </c>
      <c r="D23">
        <v>5</v>
      </c>
      <c r="E23" t="s">
        <v>37</v>
      </c>
      <c r="F23" s="2">
        <v>45931</v>
      </c>
      <c r="G23" s="20">
        <v>135.71818181818179</v>
      </c>
      <c r="H23" s="20">
        <v>149.29</v>
      </c>
      <c r="I23" s="20">
        <v>760.26</v>
      </c>
      <c r="J23" s="20">
        <f t="shared" si="0"/>
        <v>13.571818181818202</v>
      </c>
      <c r="K23" s="20">
        <f t="shared" si="1"/>
        <v>67.859090909091009</v>
      </c>
    </row>
    <row r="24" spans="1:14" x14ac:dyDescent="0.35">
      <c r="A24">
        <v>23</v>
      </c>
      <c r="B24" t="s">
        <v>50</v>
      </c>
      <c r="C24" t="s">
        <v>367</v>
      </c>
      <c r="D24">
        <v>3</v>
      </c>
      <c r="E24" t="s">
        <v>37</v>
      </c>
      <c r="F24" s="2">
        <v>45931</v>
      </c>
      <c r="G24" s="20">
        <v>61.336363636363629</v>
      </c>
      <c r="H24" s="20">
        <v>67.47</v>
      </c>
      <c r="I24" s="20">
        <v>206.16</v>
      </c>
      <c r="J24" s="20">
        <f t="shared" si="0"/>
        <v>6.13363636363637</v>
      </c>
      <c r="K24" s="20">
        <f t="shared" si="1"/>
        <v>18.40090909090911</v>
      </c>
    </row>
    <row r="25" spans="1:14" x14ac:dyDescent="0.35">
      <c r="A25">
        <v>24</v>
      </c>
      <c r="B25" t="s">
        <v>51</v>
      </c>
      <c r="C25" t="s">
        <v>361</v>
      </c>
      <c r="D25">
        <v>3</v>
      </c>
      <c r="E25" t="s">
        <v>37</v>
      </c>
      <c r="F25" s="2">
        <v>45931</v>
      </c>
      <c r="G25" s="20">
        <v>340.90909090909088</v>
      </c>
      <c r="H25" s="20">
        <v>375</v>
      </c>
      <c r="I25" s="20">
        <v>1145.81</v>
      </c>
      <c r="J25" s="20">
        <f t="shared" si="0"/>
        <v>34.090909090909122</v>
      </c>
      <c r="K25" s="20">
        <f t="shared" si="1"/>
        <v>102.27272727272737</v>
      </c>
    </row>
    <row r="26" spans="1:14" x14ac:dyDescent="0.35">
      <c r="A26">
        <v>25</v>
      </c>
      <c r="B26" t="s">
        <v>14</v>
      </c>
      <c r="C26" t="s">
        <v>1076</v>
      </c>
      <c r="D26">
        <v>2</v>
      </c>
      <c r="E26" t="s">
        <v>37</v>
      </c>
      <c r="F26" s="2">
        <v>45932</v>
      </c>
      <c r="G26" s="20">
        <v>194.15454545454543</v>
      </c>
      <c r="H26" s="20">
        <v>213.57</v>
      </c>
      <c r="I26" s="20">
        <v>435.05</v>
      </c>
      <c r="J26" s="20">
        <f t="shared" si="0"/>
        <v>19.415454545454566</v>
      </c>
      <c r="K26" s="20">
        <f t="shared" si="1"/>
        <v>38.830909090909131</v>
      </c>
    </row>
    <row r="27" spans="1:14" x14ac:dyDescent="0.35">
      <c r="A27">
        <v>26</v>
      </c>
      <c r="B27" t="s">
        <v>61</v>
      </c>
      <c r="C27" t="s">
        <v>361</v>
      </c>
      <c r="D27">
        <v>2</v>
      </c>
      <c r="E27" t="s">
        <v>37</v>
      </c>
      <c r="F27" s="2">
        <v>45932</v>
      </c>
      <c r="G27" s="20">
        <v>241.59999999999997</v>
      </c>
      <c r="H27" s="20">
        <v>265.76</v>
      </c>
      <c r="I27" s="20">
        <v>608.37</v>
      </c>
      <c r="J27" s="20">
        <f t="shared" si="0"/>
        <v>24.160000000000025</v>
      </c>
      <c r="K27" s="20">
        <f t="shared" si="1"/>
        <v>48.32000000000005</v>
      </c>
    </row>
    <row r="28" spans="1:14" x14ac:dyDescent="0.35">
      <c r="A28">
        <v>27</v>
      </c>
      <c r="B28" t="s">
        <v>16</v>
      </c>
      <c r="C28" t="s">
        <v>361</v>
      </c>
      <c r="D28">
        <v>2</v>
      </c>
      <c r="E28" t="s">
        <v>37</v>
      </c>
      <c r="F28" s="2">
        <v>45932</v>
      </c>
      <c r="G28" s="20">
        <v>169.49090909090907</v>
      </c>
      <c r="H28" s="20">
        <v>186.44</v>
      </c>
      <c r="I28" s="20">
        <v>379.77</v>
      </c>
      <c r="J28" s="20">
        <f t="shared" si="0"/>
        <v>16.949090909090927</v>
      </c>
      <c r="K28" s="20">
        <f t="shared" si="1"/>
        <v>33.898181818181854</v>
      </c>
    </row>
    <row r="29" spans="1:14" x14ac:dyDescent="0.35">
      <c r="A29">
        <v>28</v>
      </c>
      <c r="B29" t="s">
        <v>62</v>
      </c>
      <c r="C29" t="s">
        <v>362</v>
      </c>
      <c r="D29">
        <v>1</v>
      </c>
      <c r="E29" t="s">
        <v>37</v>
      </c>
      <c r="F29" s="2">
        <v>45932</v>
      </c>
      <c r="G29" s="20">
        <v>633.58181818181822</v>
      </c>
      <c r="H29" s="20">
        <v>696.94</v>
      </c>
      <c r="I29" s="20">
        <v>709.83</v>
      </c>
      <c r="J29" s="20">
        <f t="shared" si="0"/>
        <v>63.358181818181833</v>
      </c>
      <c r="K29" s="20">
        <f t="shared" si="1"/>
        <v>63.358181818181833</v>
      </c>
    </row>
    <row r="30" spans="1:14" x14ac:dyDescent="0.35">
      <c r="A30">
        <v>29</v>
      </c>
      <c r="B30" t="s">
        <v>63</v>
      </c>
      <c r="C30" t="s">
        <v>362</v>
      </c>
      <c r="D30">
        <v>1</v>
      </c>
      <c r="E30" t="s">
        <v>37</v>
      </c>
      <c r="F30" s="2">
        <v>45932</v>
      </c>
      <c r="G30" s="20">
        <v>120.29090909090907</v>
      </c>
      <c r="H30" s="20">
        <v>132.32</v>
      </c>
      <c r="I30" s="20">
        <v>134.66</v>
      </c>
      <c r="J30" s="20">
        <f t="shared" si="0"/>
        <v>12.029090909090925</v>
      </c>
      <c r="K30" s="20">
        <f t="shared" si="1"/>
        <v>12.029090909090925</v>
      </c>
    </row>
    <row r="31" spans="1:14" x14ac:dyDescent="0.35">
      <c r="A31">
        <v>30</v>
      </c>
      <c r="B31" t="s">
        <v>64</v>
      </c>
      <c r="C31" t="s">
        <v>361</v>
      </c>
      <c r="D31">
        <v>3</v>
      </c>
      <c r="E31" t="s">
        <v>37</v>
      </c>
      <c r="F31" s="2">
        <v>45932</v>
      </c>
      <c r="G31" s="20">
        <v>135.59090909090909</v>
      </c>
      <c r="H31" s="20">
        <v>149.15</v>
      </c>
      <c r="I31" s="20">
        <v>455.73</v>
      </c>
      <c r="J31" s="20">
        <f t="shared" si="0"/>
        <v>13.559090909090912</v>
      </c>
      <c r="K31" s="20">
        <f t="shared" si="1"/>
        <v>40.677272727272737</v>
      </c>
    </row>
    <row r="32" spans="1:14" x14ac:dyDescent="0.35">
      <c r="A32">
        <v>31</v>
      </c>
      <c r="B32" t="s">
        <v>65</v>
      </c>
      <c r="C32" t="s">
        <v>363</v>
      </c>
      <c r="D32">
        <v>2</v>
      </c>
      <c r="E32" t="s">
        <v>37</v>
      </c>
      <c r="F32" s="2">
        <v>45932</v>
      </c>
      <c r="G32" s="20">
        <v>154.08181818181816</v>
      </c>
      <c r="H32" s="20">
        <v>169.49</v>
      </c>
      <c r="I32" s="20">
        <v>345.25</v>
      </c>
      <c r="J32" s="20">
        <f t="shared" si="0"/>
        <v>15.408181818181845</v>
      </c>
      <c r="K32" s="20">
        <f t="shared" si="1"/>
        <v>30.81636363636369</v>
      </c>
    </row>
    <row r="33" spans="1:11" x14ac:dyDescent="0.35">
      <c r="A33">
        <v>32</v>
      </c>
      <c r="B33" t="s">
        <v>66</v>
      </c>
      <c r="C33" t="s">
        <v>362</v>
      </c>
      <c r="D33">
        <v>1</v>
      </c>
      <c r="E33" t="s">
        <v>37</v>
      </c>
      <c r="F33" s="2">
        <v>45932</v>
      </c>
      <c r="G33" s="20">
        <v>183.46363636363634</v>
      </c>
      <c r="H33" s="20">
        <v>201.81</v>
      </c>
      <c r="I33" s="20">
        <v>205.54</v>
      </c>
      <c r="J33" s="20">
        <f t="shared" si="0"/>
        <v>18.346363636363662</v>
      </c>
      <c r="K33" s="20">
        <f t="shared" si="1"/>
        <v>18.346363636363662</v>
      </c>
    </row>
    <row r="34" spans="1:11" x14ac:dyDescent="0.35">
      <c r="A34">
        <v>33</v>
      </c>
      <c r="B34" t="s">
        <v>75</v>
      </c>
      <c r="C34" t="s">
        <v>1077</v>
      </c>
      <c r="D34">
        <v>5</v>
      </c>
      <c r="E34" t="s">
        <v>95</v>
      </c>
      <c r="F34" s="2">
        <v>45932</v>
      </c>
      <c r="G34" s="20">
        <v>344.5272727272727</v>
      </c>
      <c r="H34" s="20">
        <v>378.98</v>
      </c>
      <c r="I34" s="20">
        <v>2168.89</v>
      </c>
      <c r="J34" s="20">
        <f t="shared" si="0"/>
        <v>34.452727272727316</v>
      </c>
      <c r="K34" s="20">
        <f t="shared" si="1"/>
        <v>172.26363636363658</v>
      </c>
    </row>
    <row r="35" spans="1:11" x14ac:dyDescent="0.35">
      <c r="A35">
        <v>34</v>
      </c>
      <c r="B35" t="s">
        <v>75</v>
      </c>
      <c r="C35" t="s">
        <v>1077</v>
      </c>
      <c r="D35">
        <v>5</v>
      </c>
      <c r="E35" t="s">
        <v>95</v>
      </c>
      <c r="F35" s="2">
        <v>45932</v>
      </c>
      <c r="G35" s="20">
        <v>344.5272727272727</v>
      </c>
      <c r="H35" s="20">
        <v>378.98</v>
      </c>
      <c r="I35" s="20">
        <v>2168.89</v>
      </c>
      <c r="J35" s="20">
        <f t="shared" si="0"/>
        <v>34.452727272727316</v>
      </c>
      <c r="K35" s="20">
        <f t="shared" si="1"/>
        <v>172.26363636363658</v>
      </c>
    </row>
    <row r="36" spans="1:11" x14ac:dyDescent="0.35">
      <c r="A36">
        <v>35</v>
      </c>
      <c r="B36" t="s">
        <v>76</v>
      </c>
      <c r="C36" t="s">
        <v>361</v>
      </c>
      <c r="D36">
        <v>2</v>
      </c>
      <c r="E36" t="s">
        <v>95</v>
      </c>
      <c r="F36" s="2">
        <v>45932</v>
      </c>
      <c r="G36" s="20">
        <v>345.76363636363629</v>
      </c>
      <c r="H36" s="20">
        <v>380.34</v>
      </c>
      <c r="I36" s="20">
        <v>870.68</v>
      </c>
      <c r="J36" s="20">
        <f t="shared" si="0"/>
        <v>34.576363636363681</v>
      </c>
      <c r="K36" s="20">
        <f t="shared" si="1"/>
        <v>69.152727272727361</v>
      </c>
    </row>
    <row r="37" spans="1:11" x14ac:dyDescent="0.35">
      <c r="A37">
        <v>36</v>
      </c>
      <c r="B37" t="s">
        <v>77</v>
      </c>
      <c r="C37" t="s">
        <v>365</v>
      </c>
      <c r="D37">
        <v>2</v>
      </c>
      <c r="E37" t="s">
        <v>95</v>
      </c>
      <c r="F37" s="2">
        <v>45932</v>
      </c>
      <c r="G37" s="20">
        <v>212.85454545454542</v>
      </c>
      <c r="H37" s="20">
        <v>234.14</v>
      </c>
      <c r="I37" s="20">
        <v>476.95</v>
      </c>
      <c r="J37" s="20">
        <f t="shared" si="0"/>
        <v>21.28545454545457</v>
      </c>
      <c r="K37" s="20">
        <f t="shared" si="1"/>
        <v>42.57090909090914</v>
      </c>
    </row>
    <row r="38" spans="1:11" x14ac:dyDescent="0.35">
      <c r="A38">
        <v>37</v>
      </c>
      <c r="B38" t="s">
        <v>78</v>
      </c>
      <c r="C38" t="s">
        <v>364</v>
      </c>
      <c r="D38">
        <v>4</v>
      </c>
      <c r="E38" t="s">
        <v>95</v>
      </c>
      <c r="F38" s="2">
        <v>45932</v>
      </c>
      <c r="G38" s="20">
        <v>198.29090909090908</v>
      </c>
      <c r="H38" s="20">
        <v>218.12</v>
      </c>
      <c r="I38" s="20">
        <v>888.63</v>
      </c>
      <c r="J38" s="20">
        <f t="shared" si="0"/>
        <v>19.829090909090922</v>
      </c>
      <c r="K38" s="20">
        <f t="shared" si="1"/>
        <v>79.31636363636369</v>
      </c>
    </row>
    <row r="39" spans="1:11" x14ac:dyDescent="0.35">
      <c r="A39">
        <v>38</v>
      </c>
      <c r="B39" t="s">
        <v>79</v>
      </c>
      <c r="C39" t="s">
        <v>362</v>
      </c>
      <c r="D39">
        <v>2</v>
      </c>
      <c r="E39" t="s">
        <v>95</v>
      </c>
      <c r="F39" s="2">
        <v>45932</v>
      </c>
      <c r="G39" s="20">
        <v>126.91818181818182</v>
      </c>
      <c r="H39" s="20">
        <v>139.61000000000001</v>
      </c>
      <c r="I39" s="20">
        <v>284.38</v>
      </c>
      <c r="J39" s="20">
        <f t="shared" si="0"/>
        <v>12.691818181818192</v>
      </c>
      <c r="K39" s="20">
        <f t="shared" si="1"/>
        <v>25.383636363636384</v>
      </c>
    </row>
    <row r="40" spans="1:11" x14ac:dyDescent="0.35">
      <c r="A40">
        <v>39</v>
      </c>
      <c r="B40" t="s">
        <v>80</v>
      </c>
      <c r="C40" t="s">
        <v>1075</v>
      </c>
      <c r="D40">
        <v>1</v>
      </c>
      <c r="E40" t="s">
        <v>95</v>
      </c>
      <c r="F40" s="2">
        <v>45932</v>
      </c>
      <c r="G40" s="20">
        <v>135.58181818181816</v>
      </c>
      <c r="H40" s="20">
        <v>149.13999999999999</v>
      </c>
      <c r="I40" s="20">
        <v>151.91</v>
      </c>
      <c r="J40" s="20">
        <f t="shared" si="0"/>
        <v>13.558181818181822</v>
      </c>
      <c r="K40" s="20">
        <f t="shared" si="1"/>
        <v>13.558181818181822</v>
      </c>
    </row>
    <row r="41" spans="1:11" x14ac:dyDescent="0.35">
      <c r="A41">
        <v>40</v>
      </c>
      <c r="B41" t="s">
        <v>774</v>
      </c>
      <c r="C41" t="s">
        <v>359</v>
      </c>
      <c r="D41">
        <v>1</v>
      </c>
      <c r="E41" t="s">
        <v>95</v>
      </c>
      <c r="F41" s="2">
        <v>45932</v>
      </c>
      <c r="G41" s="20">
        <v>600.92727272727268</v>
      </c>
      <c r="H41" s="20">
        <v>661.02</v>
      </c>
      <c r="I41" s="20">
        <v>756.61</v>
      </c>
      <c r="J41" s="20">
        <f t="shared" si="0"/>
        <v>60.092727272727302</v>
      </c>
      <c r="K41" s="20">
        <f t="shared" si="1"/>
        <v>60.092727272727302</v>
      </c>
    </row>
    <row r="42" spans="1:11" x14ac:dyDescent="0.35">
      <c r="A42">
        <v>41</v>
      </c>
      <c r="B42" t="s">
        <v>81</v>
      </c>
      <c r="C42" t="s">
        <v>361</v>
      </c>
      <c r="D42">
        <v>3</v>
      </c>
      <c r="E42" t="s">
        <v>95</v>
      </c>
      <c r="F42" s="2">
        <v>45932</v>
      </c>
      <c r="G42" s="20">
        <v>275.97272727272724</v>
      </c>
      <c r="H42" s="20">
        <v>303.57</v>
      </c>
      <c r="I42" s="20">
        <v>927.55</v>
      </c>
      <c r="J42" s="20">
        <f t="shared" si="0"/>
        <v>27.597272727272752</v>
      </c>
      <c r="K42" s="20">
        <f t="shared" si="1"/>
        <v>82.791818181818257</v>
      </c>
    </row>
    <row r="43" spans="1:11" x14ac:dyDescent="0.35">
      <c r="A43">
        <v>42</v>
      </c>
      <c r="B43" t="s">
        <v>82</v>
      </c>
      <c r="C43" t="s">
        <v>359</v>
      </c>
      <c r="D43">
        <v>1</v>
      </c>
      <c r="E43" t="s">
        <v>95</v>
      </c>
      <c r="F43" s="2">
        <v>45932</v>
      </c>
      <c r="G43" s="20">
        <v>511.55454545454546</v>
      </c>
      <c r="H43" s="20">
        <v>562.71</v>
      </c>
      <c r="I43" s="20">
        <v>644.07000000000005</v>
      </c>
      <c r="J43" s="20">
        <f t="shared" si="0"/>
        <v>51.155454545454575</v>
      </c>
      <c r="K43" s="20">
        <f t="shared" si="1"/>
        <v>51.155454545454575</v>
      </c>
    </row>
    <row r="44" spans="1:11" x14ac:dyDescent="0.35">
      <c r="A44">
        <v>43</v>
      </c>
      <c r="B44" t="s">
        <v>83</v>
      </c>
      <c r="C44" t="s">
        <v>366</v>
      </c>
      <c r="D44">
        <v>1</v>
      </c>
      <c r="E44" t="s">
        <v>95</v>
      </c>
      <c r="F44" s="2">
        <v>45932</v>
      </c>
      <c r="G44" s="20">
        <v>121.32727272727273</v>
      </c>
      <c r="H44" s="20">
        <v>133.46</v>
      </c>
      <c r="I44" s="20">
        <v>135.94</v>
      </c>
      <c r="J44" s="20">
        <f t="shared" si="0"/>
        <v>12.13272727272728</v>
      </c>
      <c r="K44" s="20">
        <f t="shared" si="1"/>
        <v>12.13272727272728</v>
      </c>
    </row>
    <row r="45" spans="1:11" x14ac:dyDescent="0.35">
      <c r="A45">
        <v>44</v>
      </c>
      <c r="B45" t="s">
        <v>84</v>
      </c>
      <c r="C45" t="s">
        <v>361</v>
      </c>
      <c r="D45">
        <v>2</v>
      </c>
      <c r="E45" t="s">
        <v>95</v>
      </c>
      <c r="F45" s="2">
        <v>45932</v>
      </c>
      <c r="G45" s="20">
        <v>418.83636363636361</v>
      </c>
      <c r="H45" s="20">
        <v>460.72</v>
      </c>
      <c r="I45" s="20">
        <v>938.5</v>
      </c>
      <c r="J45" s="20">
        <f t="shared" si="0"/>
        <v>41.883636363636413</v>
      </c>
      <c r="K45" s="20">
        <f t="shared" si="1"/>
        <v>83.767272727272825</v>
      </c>
    </row>
    <row r="46" spans="1:11" x14ac:dyDescent="0.35">
      <c r="A46">
        <v>45</v>
      </c>
      <c r="B46" t="s">
        <v>96</v>
      </c>
      <c r="C46" t="s">
        <v>359</v>
      </c>
      <c r="D46">
        <v>1</v>
      </c>
      <c r="E46" t="s">
        <v>95</v>
      </c>
      <c r="F46" s="2">
        <v>45932</v>
      </c>
      <c r="G46" s="20">
        <v>563.94545454545448</v>
      </c>
      <c r="H46" s="20">
        <v>620.34</v>
      </c>
      <c r="I46" s="20">
        <v>710.05</v>
      </c>
      <c r="J46" s="20">
        <f t="shared" si="0"/>
        <v>56.39454545454555</v>
      </c>
      <c r="K46" s="20">
        <f t="shared" si="1"/>
        <v>56.39454545454555</v>
      </c>
    </row>
    <row r="47" spans="1:11" x14ac:dyDescent="0.35">
      <c r="A47">
        <v>46</v>
      </c>
      <c r="B47" t="s">
        <v>97</v>
      </c>
      <c r="C47" t="s">
        <v>361</v>
      </c>
      <c r="D47">
        <v>2</v>
      </c>
      <c r="E47" t="s">
        <v>95</v>
      </c>
      <c r="F47" s="2">
        <v>45932</v>
      </c>
      <c r="G47" s="20">
        <v>159.62727272727273</v>
      </c>
      <c r="H47" s="20">
        <v>175.59</v>
      </c>
      <c r="I47" s="20">
        <v>357.68</v>
      </c>
      <c r="J47" s="20">
        <f t="shared" si="0"/>
        <v>15.962727272727278</v>
      </c>
      <c r="K47" s="20">
        <f t="shared" si="1"/>
        <v>31.925454545454556</v>
      </c>
    </row>
    <row r="48" spans="1:11" x14ac:dyDescent="0.35">
      <c r="A48">
        <v>47</v>
      </c>
      <c r="B48" t="s">
        <v>98</v>
      </c>
      <c r="C48" t="s">
        <v>368</v>
      </c>
      <c r="D48">
        <v>3</v>
      </c>
      <c r="E48" t="s">
        <v>95</v>
      </c>
      <c r="F48" s="2">
        <v>45932</v>
      </c>
      <c r="G48" s="20">
        <v>220.13636363636363</v>
      </c>
      <c r="H48" s="20">
        <v>242.15</v>
      </c>
      <c r="I48" s="20">
        <v>739.9</v>
      </c>
      <c r="J48" s="20">
        <f t="shared" si="0"/>
        <v>22.01363636363638</v>
      </c>
      <c r="K48" s="20">
        <f t="shared" si="1"/>
        <v>66.040909090909139</v>
      </c>
    </row>
    <row r="49" spans="1:11" x14ac:dyDescent="0.35">
      <c r="A49">
        <v>48</v>
      </c>
      <c r="B49" t="s">
        <v>99</v>
      </c>
      <c r="C49" t="s">
        <v>367</v>
      </c>
      <c r="D49">
        <v>4</v>
      </c>
      <c r="E49" t="s">
        <v>95</v>
      </c>
      <c r="F49" s="2">
        <v>45932</v>
      </c>
      <c r="G49" s="20">
        <v>91.554545454545448</v>
      </c>
      <c r="H49" s="20">
        <v>100.71</v>
      </c>
      <c r="I49" s="20">
        <v>512.86</v>
      </c>
      <c r="J49" s="20">
        <f t="shared" si="0"/>
        <v>9.1554545454545462</v>
      </c>
      <c r="K49" s="20">
        <f t="shared" si="1"/>
        <v>36.621818181818185</v>
      </c>
    </row>
    <row r="50" spans="1:11" x14ac:dyDescent="0.35">
      <c r="A50">
        <v>49</v>
      </c>
      <c r="B50" t="s">
        <v>100</v>
      </c>
      <c r="C50" t="s">
        <v>1076</v>
      </c>
      <c r="D50">
        <v>5</v>
      </c>
      <c r="E50" t="s">
        <v>95</v>
      </c>
      <c r="F50" s="2">
        <v>45932</v>
      </c>
      <c r="G50" s="20">
        <v>70.618181818181824</v>
      </c>
      <c r="H50" s="20">
        <v>77.680000000000007</v>
      </c>
      <c r="I50" s="20">
        <v>237.35</v>
      </c>
      <c r="J50" s="20">
        <f t="shared" si="0"/>
        <v>7.0618181818181824</v>
      </c>
      <c r="K50" s="20">
        <f t="shared" si="1"/>
        <v>35.309090909090912</v>
      </c>
    </row>
    <row r="51" spans="1:11" x14ac:dyDescent="0.35">
      <c r="A51">
        <v>50</v>
      </c>
      <c r="B51" t="s">
        <v>101</v>
      </c>
      <c r="C51" t="s">
        <v>1076</v>
      </c>
      <c r="D51">
        <v>3</v>
      </c>
      <c r="E51" t="s">
        <v>95</v>
      </c>
      <c r="F51" s="2">
        <v>45932</v>
      </c>
      <c r="G51" s="20">
        <v>462.85454545454542</v>
      </c>
      <c r="H51" s="20">
        <v>509.14</v>
      </c>
      <c r="I51" s="20">
        <v>1555.68</v>
      </c>
      <c r="J51" s="20">
        <f t="shared" si="0"/>
        <v>46.28545454545457</v>
      </c>
      <c r="K51" s="20">
        <f t="shared" si="1"/>
        <v>138.85636363636371</v>
      </c>
    </row>
    <row r="52" spans="1:11" x14ac:dyDescent="0.35">
      <c r="A52">
        <v>51</v>
      </c>
      <c r="B52" t="s">
        <v>102</v>
      </c>
      <c r="C52" t="s">
        <v>365</v>
      </c>
      <c r="D52">
        <v>20</v>
      </c>
      <c r="E52" t="s">
        <v>95</v>
      </c>
      <c r="F52" s="2">
        <v>45932</v>
      </c>
      <c r="G52" s="20">
        <v>15.390909090909089</v>
      </c>
      <c r="H52" s="20">
        <v>16.93</v>
      </c>
      <c r="I52" s="20">
        <v>344.86</v>
      </c>
      <c r="J52" s="20">
        <f t="shared" si="0"/>
        <v>1.5390909090909108</v>
      </c>
      <c r="K52" s="20">
        <f t="shared" si="1"/>
        <v>30.781818181818217</v>
      </c>
    </row>
    <row r="53" spans="1:11" x14ac:dyDescent="0.35">
      <c r="A53">
        <v>52</v>
      </c>
      <c r="B53" t="s">
        <v>103</v>
      </c>
      <c r="C53" t="s">
        <v>367</v>
      </c>
      <c r="D53">
        <v>2</v>
      </c>
      <c r="E53" t="s">
        <v>95</v>
      </c>
      <c r="F53" s="2">
        <v>45932</v>
      </c>
      <c r="G53" s="20">
        <v>70.845454545454544</v>
      </c>
      <c r="H53" s="20">
        <v>77.930000000000007</v>
      </c>
      <c r="I53" s="20">
        <v>158.74</v>
      </c>
      <c r="J53" s="20">
        <f t="shared" si="0"/>
        <v>7.0845454545454629</v>
      </c>
      <c r="K53" s="20">
        <f t="shared" si="1"/>
        <v>14.169090909090926</v>
      </c>
    </row>
    <row r="54" spans="1:11" x14ac:dyDescent="0.35">
      <c r="A54">
        <v>53</v>
      </c>
      <c r="B54" t="s">
        <v>104</v>
      </c>
      <c r="C54" t="s">
        <v>367</v>
      </c>
      <c r="D54">
        <v>2</v>
      </c>
      <c r="E54" t="s">
        <v>95</v>
      </c>
      <c r="F54" s="2">
        <v>45932</v>
      </c>
      <c r="G54" s="20">
        <v>55.154545454545449</v>
      </c>
      <c r="H54" s="20">
        <v>60.67</v>
      </c>
      <c r="I54" s="20">
        <v>123.58</v>
      </c>
      <c r="J54" s="20">
        <f t="shared" si="0"/>
        <v>5.5154545454545527</v>
      </c>
      <c r="K54" s="20">
        <f t="shared" si="1"/>
        <v>11.030909090909105</v>
      </c>
    </row>
    <row r="55" spans="1:11" x14ac:dyDescent="0.35">
      <c r="A55">
        <v>54</v>
      </c>
      <c r="B55" t="s">
        <v>105</v>
      </c>
      <c r="C55" t="s">
        <v>364</v>
      </c>
      <c r="D55">
        <v>1</v>
      </c>
      <c r="E55" t="s">
        <v>95</v>
      </c>
      <c r="F55" s="2">
        <v>45932</v>
      </c>
      <c r="G55" s="20">
        <v>126.54545454545452</v>
      </c>
      <c r="H55" s="20">
        <v>139.19999999999999</v>
      </c>
      <c r="I55" s="20">
        <v>143.24</v>
      </c>
      <c r="J55" s="20">
        <f t="shared" si="0"/>
        <v>12.65454545454547</v>
      </c>
      <c r="K55" s="20">
        <f t="shared" si="1"/>
        <v>12.65454545454547</v>
      </c>
    </row>
    <row r="56" spans="1:11" x14ac:dyDescent="0.35">
      <c r="A56">
        <v>55</v>
      </c>
      <c r="B56" t="s">
        <v>118</v>
      </c>
      <c r="C56" t="s">
        <v>361</v>
      </c>
      <c r="D56">
        <v>1</v>
      </c>
      <c r="E56" t="s">
        <v>131</v>
      </c>
      <c r="F56" s="2">
        <v>45932</v>
      </c>
      <c r="G56" s="20">
        <v>178.28181818181818</v>
      </c>
      <c r="H56" s="20">
        <v>196.11</v>
      </c>
      <c r="I56" s="20">
        <v>231.41</v>
      </c>
      <c r="J56" s="20">
        <f t="shared" si="0"/>
        <v>17.828181818181832</v>
      </c>
      <c r="K56" s="20">
        <f t="shared" si="1"/>
        <v>17.828181818181832</v>
      </c>
    </row>
    <row r="57" spans="1:11" x14ac:dyDescent="0.35">
      <c r="A57">
        <v>56</v>
      </c>
      <c r="B57" t="s">
        <v>116</v>
      </c>
      <c r="C57" t="s">
        <v>1076</v>
      </c>
      <c r="D57">
        <v>6</v>
      </c>
      <c r="E57" t="s">
        <v>131</v>
      </c>
      <c r="F57" s="2">
        <v>45932</v>
      </c>
      <c r="G57" s="20">
        <v>87.190909090909088</v>
      </c>
      <c r="H57" s="20">
        <v>95.91</v>
      </c>
      <c r="I57" s="20">
        <v>488.42</v>
      </c>
      <c r="J57" s="20">
        <f t="shared" si="0"/>
        <v>8.7190909090909088</v>
      </c>
      <c r="K57" s="20">
        <f t="shared" si="1"/>
        <v>52.314545454545453</v>
      </c>
    </row>
    <row r="58" spans="1:11" x14ac:dyDescent="0.35">
      <c r="A58">
        <v>57</v>
      </c>
      <c r="B58" t="s">
        <v>117</v>
      </c>
      <c r="C58" t="s">
        <v>361</v>
      </c>
      <c r="D58">
        <v>1</v>
      </c>
      <c r="E58" t="s">
        <v>131</v>
      </c>
      <c r="F58" s="2">
        <v>45933</v>
      </c>
      <c r="G58" s="20">
        <v>102.84545454545453</v>
      </c>
      <c r="H58" s="20">
        <v>113.13</v>
      </c>
      <c r="I58" s="20">
        <v>133.49</v>
      </c>
      <c r="J58" s="20">
        <f t="shared" si="0"/>
        <v>10.284545454545466</v>
      </c>
      <c r="K58" s="20">
        <f t="shared" si="1"/>
        <v>10.284545454545466</v>
      </c>
    </row>
    <row r="59" spans="1:11" x14ac:dyDescent="0.35">
      <c r="A59">
        <v>58</v>
      </c>
      <c r="B59" t="s">
        <v>119</v>
      </c>
      <c r="C59" t="s">
        <v>1075</v>
      </c>
      <c r="D59">
        <v>5</v>
      </c>
      <c r="E59" t="s">
        <v>131</v>
      </c>
      <c r="F59" s="2">
        <v>45933</v>
      </c>
      <c r="G59" s="20">
        <v>30.272727272727266</v>
      </c>
      <c r="H59" s="20">
        <v>33.299999999999997</v>
      </c>
      <c r="I59" s="20">
        <v>169.58</v>
      </c>
      <c r="J59" s="20">
        <f t="shared" si="0"/>
        <v>3.0272727272727309</v>
      </c>
      <c r="K59" s="20">
        <f t="shared" si="1"/>
        <v>15.136363636363654</v>
      </c>
    </row>
    <row r="60" spans="1:11" x14ac:dyDescent="0.35">
      <c r="A60">
        <v>59</v>
      </c>
      <c r="B60" t="s">
        <v>120</v>
      </c>
      <c r="C60" t="s">
        <v>361</v>
      </c>
      <c r="D60">
        <v>5</v>
      </c>
      <c r="E60" t="s">
        <v>131</v>
      </c>
      <c r="F60" s="2">
        <v>45933</v>
      </c>
      <c r="G60" s="20">
        <v>220.78181818181818</v>
      </c>
      <c r="H60" s="20">
        <v>242.86</v>
      </c>
      <c r="I60" s="20">
        <v>1236.77</v>
      </c>
      <c r="J60" s="20">
        <f t="shared" si="0"/>
        <v>22.078181818181832</v>
      </c>
      <c r="K60" s="20">
        <f t="shared" si="1"/>
        <v>110.39090909090916</v>
      </c>
    </row>
    <row r="61" spans="1:11" x14ac:dyDescent="0.35">
      <c r="A61">
        <v>60</v>
      </c>
      <c r="B61" t="s">
        <v>121</v>
      </c>
      <c r="C61" t="s">
        <v>361</v>
      </c>
      <c r="D61">
        <v>1</v>
      </c>
      <c r="E61" t="s">
        <v>131</v>
      </c>
      <c r="F61" s="2">
        <v>45933</v>
      </c>
      <c r="G61" s="20">
        <v>25.227272727272727</v>
      </c>
      <c r="H61" s="20">
        <v>27.75</v>
      </c>
      <c r="I61" s="20">
        <v>29.13</v>
      </c>
      <c r="J61" s="20">
        <f t="shared" si="0"/>
        <v>2.5227272727272734</v>
      </c>
      <c r="K61" s="20">
        <f t="shared" si="1"/>
        <v>2.5227272727272734</v>
      </c>
    </row>
    <row r="62" spans="1:11" x14ac:dyDescent="0.35">
      <c r="A62">
        <v>61</v>
      </c>
      <c r="B62" t="s">
        <v>122</v>
      </c>
      <c r="C62" t="s">
        <v>363</v>
      </c>
      <c r="D62">
        <v>2</v>
      </c>
      <c r="E62" t="s">
        <v>131</v>
      </c>
      <c r="F62" s="2">
        <v>45933</v>
      </c>
      <c r="G62" s="20">
        <v>173.34545454545454</v>
      </c>
      <c r="H62" s="20">
        <v>190.68</v>
      </c>
      <c r="I62" s="20">
        <v>450</v>
      </c>
      <c r="J62" s="20">
        <f t="shared" si="0"/>
        <v>17.334545454545463</v>
      </c>
      <c r="K62" s="20">
        <f t="shared" si="1"/>
        <v>34.669090909090926</v>
      </c>
    </row>
    <row r="63" spans="1:11" x14ac:dyDescent="0.35">
      <c r="A63">
        <v>62</v>
      </c>
      <c r="B63" t="s">
        <v>123</v>
      </c>
      <c r="C63" t="s">
        <v>1076</v>
      </c>
      <c r="D63">
        <v>5</v>
      </c>
      <c r="E63" t="s">
        <v>131</v>
      </c>
      <c r="F63" s="2">
        <v>45933</v>
      </c>
      <c r="G63" s="20">
        <v>51.663636363636357</v>
      </c>
      <c r="H63" s="20">
        <v>56.83</v>
      </c>
      <c r="I63" s="20">
        <v>289.41000000000003</v>
      </c>
      <c r="J63" s="20">
        <f t="shared" si="0"/>
        <v>5.1663636363636414</v>
      </c>
      <c r="K63" s="20">
        <f t="shared" si="1"/>
        <v>25.831818181818207</v>
      </c>
    </row>
    <row r="64" spans="1:11" x14ac:dyDescent="0.35">
      <c r="A64">
        <v>63</v>
      </c>
      <c r="B64" t="s">
        <v>132</v>
      </c>
      <c r="C64" t="s">
        <v>1076</v>
      </c>
      <c r="D64">
        <v>10</v>
      </c>
      <c r="E64" t="s">
        <v>134</v>
      </c>
      <c r="F64" s="2">
        <v>45933</v>
      </c>
      <c r="G64" s="20">
        <v>119.09999999999998</v>
      </c>
      <c r="H64" s="20">
        <v>131.01</v>
      </c>
      <c r="I64" s="20">
        <v>1334.34</v>
      </c>
      <c r="J64" s="20">
        <f t="shared" si="0"/>
        <v>11.910000000000011</v>
      </c>
      <c r="K64" s="20">
        <f t="shared" si="1"/>
        <v>119.10000000000011</v>
      </c>
    </row>
    <row r="65" spans="1:11" x14ac:dyDescent="0.35">
      <c r="A65">
        <v>64</v>
      </c>
      <c r="B65" t="s">
        <v>135</v>
      </c>
      <c r="C65" t="s">
        <v>361</v>
      </c>
      <c r="D65">
        <v>12</v>
      </c>
      <c r="E65" t="s">
        <v>136</v>
      </c>
      <c r="F65" s="2">
        <v>45933</v>
      </c>
      <c r="G65" s="20">
        <v>246.5363636363636</v>
      </c>
      <c r="H65" s="20">
        <v>271.19</v>
      </c>
      <c r="I65" s="20">
        <v>3200</v>
      </c>
      <c r="J65" s="20">
        <f t="shared" si="0"/>
        <v>24.653636363636394</v>
      </c>
      <c r="K65" s="20">
        <f t="shared" si="1"/>
        <v>295.84363636363673</v>
      </c>
    </row>
    <row r="66" spans="1:11" x14ac:dyDescent="0.35">
      <c r="A66">
        <v>65</v>
      </c>
      <c r="B66" t="s">
        <v>137</v>
      </c>
      <c r="C66" t="s">
        <v>1077</v>
      </c>
      <c r="D66">
        <v>5</v>
      </c>
      <c r="E66" t="s">
        <v>141</v>
      </c>
      <c r="F66" s="2">
        <v>45933</v>
      </c>
      <c r="G66" s="20">
        <v>616.88181818181818</v>
      </c>
      <c r="H66" s="20">
        <v>678.57</v>
      </c>
      <c r="I66" s="20">
        <v>3455.62</v>
      </c>
      <c r="J66" s="20">
        <f t="shared" ref="J66:J129" si="2">H66-G66</f>
        <v>61.688181818181874</v>
      </c>
      <c r="K66" s="20">
        <f t="shared" ref="K66:K129" si="3">J66*D66</f>
        <v>308.44090909090937</v>
      </c>
    </row>
    <row r="67" spans="1:11" x14ac:dyDescent="0.35">
      <c r="A67">
        <v>66</v>
      </c>
      <c r="B67" t="s">
        <v>138</v>
      </c>
      <c r="C67" t="s">
        <v>1077</v>
      </c>
      <c r="D67">
        <v>5</v>
      </c>
      <c r="E67" t="s">
        <v>141</v>
      </c>
      <c r="F67" s="2">
        <v>45933</v>
      </c>
      <c r="G67" s="20">
        <v>603.24545454545455</v>
      </c>
      <c r="H67" s="20">
        <v>663.57</v>
      </c>
      <c r="I67" s="20">
        <v>3379.23</v>
      </c>
      <c r="J67" s="20">
        <f t="shared" si="2"/>
        <v>60.3245454545455</v>
      </c>
      <c r="K67" s="20">
        <f t="shared" si="3"/>
        <v>301.6227272727275</v>
      </c>
    </row>
    <row r="68" spans="1:11" x14ac:dyDescent="0.35">
      <c r="A68">
        <v>67</v>
      </c>
      <c r="B68" t="s">
        <v>142</v>
      </c>
      <c r="C68" t="s">
        <v>361</v>
      </c>
      <c r="D68">
        <v>1</v>
      </c>
      <c r="E68" t="s">
        <v>131</v>
      </c>
      <c r="F68" s="2">
        <v>45933</v>
      </c>
      <c r="G68" s="20">
        <v>32.727272727272727</v>
      </c>
      <c r="H68" s="20">
        <v>36</v>
      </c>
      <c r="I68" s="20">
        <v>37.799999999999997</v>
      </c>
      <c r="J68" s="20">
        <f t="shared" si="2"/>
        <v>3.2727272727272734</v>
      </c>
      <c r="K68" s="20">
        <f t="shared" si="3"/>
        <v>3.2727272727272734</v>
      </c>
    </row>
    <row r="69" spans="1:11" x14ac:dyDescent="0.35">
      <c r="A69">
        <v>68</v>
      </c>
      <c r="B69" t="s">
        <v>143</v>
      </c>
      <c r="C69" t="s">
        <v>361</v>
      </c>
      <c r="D69">
        <v>1</v>
      </c>
      <c r="E69" t="s">
        <v>131</v>
      </c>
      <c r="F69" s="2">
        <v>45933</v>
      </c>
      <c r="G69" s="20">
        <v>459.78181818181815</v>
      </c>
      <c r="H69" s="20">
        <v>505.76</v>
      </c>
      <c r="I69" s="20">
        <v>578.89</v>
      </c>
      <c r="J69" s="20">
        <f t="shared" si="2"/>
        <v>45.978181818181838</v>
      </c>
      <c r="K69" s="20">
        <f t="shared" si="3"/>
        <v>45.978181818181838</v>
      </c>
    </row>
    <row r="70" spans="1:11" x14ac:dyDescent="0.35">
      <c r="A70">
        <v>69</v>
      </c>
      <c r="B70" t="s">
        <v>144</v>
      </c>
      <c r="C70" t="s">
        <v>361</v>
      </c>
      <c r="D70">
        <v>1</v>
      </c>
      <c r="E70" t="s">
        <v>131</v>
      </c>
      <c r="F70" s="2">
        <v>45933</v>
      </c>
      <c r="G70" s="20">
        <v>178.28181818181818</v>
      </c>
      <c r="H70" s="20">
        <v>196.11</v>
      </c>
      <c r="I70" s="20">
        <v>231.41</v>
      </c>
      <c r="J70" s="20">
        <f t="shared" si="2"/>
        <v>17.828181818181832</v>
      </c>
      <c r="K70" s="20">
        <f t="shared" si="3"/>
        <v>17.828181818181832</v>
      </c>
    </row>
    <row r="71" spans="1:11" x14ac:dyDescent="0.35">
      <c r="A71">
        <v>70</v>
      </c>
      <c r="B71" t="s">
        <v>145</v>
      </c>
      <c r="C71" t="s">
        <v>368</v>
      </c>
      <c r="D71">
        <v>1</v>
      </c>
      <c r="E71" t="s">
        <v>131</v>
      </c>
      <c r="F71" s="2">
        <v>45933</v>
      </c>
      <c r="G71" s="20">
        <v>154.08181818181799</v>
      </c>
      <c r="H71" s="20">
        <v>169.49</v>
      </c>
      <c r="I71" s="20">
        <v>172.63</v>
      </c>
      <c r="J71" s="20">
        <f t="shared" si="2"/>
        <v>15.408181818182015</v>
      </c>
      <c r="K71" s="20">
        <f t="shared" si="3"/>
        <v>15.408181818182015</v>
      </c>
    </row>
    <row r="72" spans="1:11" x14ac:dyDescent="0.35">
      <c r="A72">
        <v>71</v>
      </c>
      <c r="B72" t="s">
        <v>145</v>
      </c>
      <c r="C72" t="s">
        <v>368</v>
      </c>
      <c r="D72">
        <v>1</v>
      </c>
      <c r="E72" t="s">
        <v>131</v>
      </c>
      <c r="F72" s="2">
        <v>45933</v>
      </c>
      <c r="G72" s="20">
        <v>154.08181818181816</v>
      </c>
      <c r="H72" s="20">
        <v>169.49</v>
      </c>
      <c r="I72" s="20">
        <v>172.63</v>
      </c>
      <c r="J72" s="20">
        <f t="shared" si="2"/>
        <v>15.408181818181845</v>
      </c>
      <c r="K72" s="20">
        <f t="shared" si="3"/>
        <v>15.408181818181845</v>
      </c>
    </row>
    <row r="73" spans="1:11" x14ac:dyDescent="0.35">
      <c r="A73">
        <v>72</v>
      </c>
      <c r="B73" t="s">
        <v>151</v>
      </c>
      <c r="C73" t="s">
        <v>1076</v>
      </c>
      <c r="D73">
        <v>3</v>
      </c>
      <c r="E73" t="s">
        <v>95</v>
      </c>
      <c r="F73" s="2">
        <v>45933</v>
      </c>
      <c r="G73" s="20">
        <v>238</v>
      </c>
      <c r="H73" s="20">
        <v>261.8</v>
      </c>
      <c r="I73" s="20">
        <v>799.94</v>
      </c>
      <c r="J73" s="20">
        <f t="shared" si="2"/>
        <v>23.800000000000011</v>
      </c>
      <c r="K73" s="20">
        <f t="shared" si="3"/>
        <v>71.400000000000034</v>
      </c>
    </row>
    <row r="74" spans="1:11" x14ac:dyDescent="0.35">
      <c r="A74">
        <v>73</v>
      </c>
      <c r="B74" t="s">
        <v>153</v>
      </c>
      <c r="C74" t="s">
        <v>1075</v>
      </c>
      <c r="D74">
        <v>2</v>
      </c>
      <c r="E74" t="s">
        <v>95</v>
      </c>
      <c r="F74" s="2">
        <v>45933</v>
      </c>
      <c r="G74" s="20">
        <v>238.96363636363637</v>
      </c>
      <c r="H74" s="20">
        <v>262.86</v>
      </c>
      <c r="I74" s="20">
        <v>535.45000000000005</v>
      </c>
      <c r="J74" s="20">
        <f t="shared" si="2"/>
        <v>23.896363636363645</v>
      </c>
      <c r="K74" s="20">
        <f t="shared" si="3"/>
        <v>47.792727272727291</v>
      </c>
    </row>
    <row r="75" spans="1:11" x14ac:dyDescent="0.35">
      <c r="A75">
        <v>74</v>
      </c>
      <c r="B75" t="s">
        <v>154</v>
      </c>
      <c r="C75" t="s">
        <v>368</v>
      </c>
      <c r="D75">
        <v>6</v>
      </c>
      <c r="E75" t="s">
        <v>95</v>
      </c>
      <c r="F75" s="2">
        <v>45933</v>
      </c>
      <c r="G75" s="20">
        <v>141.76363636363635</v>
      </c>
      <c r="H75" s="20">
        <v>155.94</v>
      </c>
      <c r="I75" s="20">
        <v>952.95</v>
      </c>
      <c r="J75" s="20">
        <f t="shared" si="2"/>
        <v>14.176363636363646</v>
      </c>
      <c r="K75" s="20">
        <f t="shared" si="3"/>
        <v>85.058181818181879</v>
      </c>
    </row>
    <row r="76" spans="1:11" x14ac:dyDescent="0.35">
      <c r="A76">
        <v>75</v>
      </c>
      <c r="B76" t="s">
        <v>155</v>
      </c>
      <c r="C76" t="s">
        <v>1077</v>
      </c>
      <c r="D76">
        <v>1</v>
      </c>
      <c r="E76" t="s">
        <v>95</v>
      </c>
      <c r="F76" s="2">
        <v>45933</v>
      </c>
      <c r="G76" s="20">
        <v>160.24545454545455</v>
      </c>
      <c r="H76" s="20">
        <v>176.27</v>
      </c>
      <c r="I76" s="20">
        <v>179.52</v>
      </c>
      <c r="J76" s="20">
        <f t="shared" si="2"/>
        <v>16.024545454545461</v>
      </c>
      <c r="K76" s="20">
        <f t="shared" si="3"/>
        <v>16.024545454545461</v>
      </c>
    </row>
    <row r="77" spans="1:11" x14ac:dyDescent="0.35">
      <c r="A77">
        <v>76</v>
      </c>
      <c r="B77" t="s">
        <v>156</v>
      </c>
      <c r="C77" t="s">
        <v>367</v>
      </c>
      <c r="D77">
        <v>2</v>
      </c>
      <c r="E77" t="s">
        <v>95</v>
      </c>
      <c r="F77" s="2">
        <v>45933</v>
      </c>
      <c r="G77" s="20">
        <v>147.85454545454542</v>
      </c>
      <c r="H77" s="20">
        <v>162.63999999999999</v>
      </c>
      <c r="I77" s="20">
        <v>331.3</v>
      </c>
      <c r="J77" s="20">
        <f t="shared" si="2"/>
        <v>14.78545454545457</v>
      </c>
      <c r="K77" s="20">
        <f t="shared" si="3"/>
        <v>29.57090909090914</v>
      </c>
    </row>
    <row r="78" spans="1:11" x14ac:dyDescent="0.35">
      <c r="A78">
        <v>77</v>
      </c>
      <c r="B78" t="s">
        <v>157</v>
      </c>
      <c r="C78" t="s">
        <v>1075</v>
      </c>
      <c r="D78">
        <v>1</v>
      </c>
      <c r="E78" t="s">
        <v>95</v>
      </c>
      <c r="F78" s="2">
        <v>45933</v>
      </c>
      <c r="G78" s="20">
        <v>129.43636363636361</v>
      </c>
      <c r="H78" s="20">
        <v>142.38</v>
      </c>
      <c r="I78" s="20">
        <v>145.01</v>
      </c>
      <c r="J78" s="20">
        <f t="shared" si="2"/>
        <v>12.943636363636386</v>
      </c>
      <c r="K78" s="20">
        <f t="shared" si="3"/>
        <v>12.943636363636386</v>
      </c>
    </row>
    <row r="79" spans="1:11" x14ac:dyDescent="0.35">
      <c r="A79">
        <v>78</v>
      </c>
      <c r="B79" t="s">
        <v>158</v>
      </c>
      <c r="C79" t="s">
        <v>367</v>
      </c>
      <c r="D79">
        <v>1</v>
      </c>
      <c r="E79" t="s">
        <v>95</v>
      </c>
      <c r="F79" s="2">
        <v>45933</v>
      </c>
      <c r="G79" s="20">
        <v>93.818181818181813</v>
      </c>
      <c r="H79" s="20">
        <v>103.2</v>
      </c>
      <c r="I79" s="20">
        <v>105.1</v>
      </c>
      <c r="J79" s="20">
        <f t="shared" si="2"/>
        <v>9.3818181818181898</v>
      </c>
      <c r="K79" s="20">
        <f t="shared" si="3"/>
        <v>9.3818181818181898</v>
      </c>
    </row>
    <row r="80" spans="1:11" x14ac:dyDescent="0.35">
      <c r="A80">
        <v>79</v>
      </c>
      <c r="B80" t="s">
        <v>165</v>
      </c>
      <c r="C80" t="s">
        <v>367</v>
      </c>
      <c r="D80">
        <v>3</v>
      </c>
      <c r="E80" t="s">
        <v>95</v>
      </c>
      <c r="F80" s="2">
        <v>45933</v>
      </c>
      <c r="G80" s="20">
        <v>52.009090909090908</v>
      </c>
      <c r="H80" s="20">
        <v>57.21</v>
      </c>
      <c r="I80" s="20">
        <v>174.8</v>
      </c>
      <c r="J80" s="20">
        <f t="shared" si="2"/>
        <v>5.2009090909090929</v>
      </c>
      <c r="K80" s="20">
        <f t="shared" si="3"/>
        <v>15.602727272727279</v>
      </c>
    </row>
    <row r="81" spans="1:11" x14ac:dyDescent="0.35">
      <c r="A81">
        <v>80</v>
      </c>
      <c r="B81" t="s">
        <v>166</v>
      </c>
      <c r="C81" t="s">
        <v>362</v>
      </c>
      <c r="D81">
        <v>10</v>
      </c>
      <c r="E81" t="s">
        <v>95</v>
      </c>
      <c r="F81" s="2">
        <v>45933</v>
      </c>
      <c r="G81" s="20">
        <v>45.199999999999996</v>
      </c>
      <c r="H81" s="20">
        <v>49.72</v>
      </c>
      <c r="I81" s="20">
        <v>506.4</v>
      </c>
      <c r="J81" s="20">
        <f t="shared" si="2"/>
        <v>4.5200000000000031</v>
      </c>
      <c r="K81" s="20">
        <f t="shared" si="3"/>
        <v>45.200000000000031</v>
      </c>
    </row>
    <row r="82" spans="1:11" x14ac:dyDescent="0.35">
      <c r="A82">
        <v>81</v>
      </c>
      <c r="B82" t="s">
        <v>167</v>
      </c>
      <c r="C82" t="s">
        <v>361</v>
      </c>
      <c r="D82">
        <v>1</v>
      </c>
      <c r="E82" t="s">
        <v>95</v>
      </c>
      <c r="F82" s="2">
        <v>45933</v>
      </c>
      <c r="G82" s="20">
        <v>218.79999999999998</v>
      </c>
      <c r="H82" s="20">
        <v>240.68</v>
      </c>
      <c r="I82" s="20">
        <v>274.48</v>
      </c>
      <c r="J82" s="20">
        <f t="shared" si="2"/>
        <v>21.880000000000024</v>
      </c>
      <c r="K82" s="20">
        <f t="shared" si="3"/>
        <v>21.880000000000024</v>
      </c>
    </row>
    <row r="83" spans="1:11" x14ac:dyDescent="0.35">
      <c r="A83">
        <v>82</v>
      </c>
      <c r="B83" t="s">
        <v>168</v>
      </c>
      <c r="C83" t="s">
        <v>361</v>
      </c>
      <c r="D83">
        <v>1</v>
      </c>
      <c r="E83" t="s">
        <v>95</v>
      </c>
      <c r="F83" s="2">
        <v>45933</v>
      </c>
      <c r="G83" s="20">
        <v>62.072727272727271</v>
      </c>
      <c r="H83" s="20">
        <v>68.28</v>
      </c>
      <c r="I83" s="20">
        <v>69.55</v>
      </c>
      <c r="J83" s="20">
        <f t="shared" si="2"/>
        <v>6.2072727272727306</v>
      </c>
      <c r="K83" s="20">
        <f t="shared" si="3"/>
        <v>6.2072727272727306</v>
      </c>
    </row>
    <row r="84" spans="1:11" x14ac:dyDescent="0.35">
      <c r="A84">
        <v>83</v>
      </c>
      <c r="B84" t="s">
        <v>169</v>
      </c>
      <c r="C84" t="s">
        <v>361</v>
      </c>
      <c r="D84">
        <v>2</v>
      </c>
      <c r="E84" t="s">
        <v>95</v>
      </c>
      <c r="F84" s="2">
        <v>45933</v>
      </c>
      <c r="G84" s="20">
        <v>127.91818181818182</v>
      </c>
      <c r="H84" s="20">
        <v>140.71</v>
      </c>
      <c r="I84" s="20">
        <v>286.62</v>
      </c>
      <c r="J84" s="20">
        <f t="shared" si="2"/>
        <v>12.791818181818186</v>
      </c>
      <c r="K84" s="20">
        <f t="shared" si="3"/>
        <v>25.583636363636373</v>
      </c>
    </row>
    <row r="85" spans="1:11" x14ac:dyDescent="0.35">
      <c r="A85">
        <v>84</v>
      </c>
      <c r="B85" t="s">
        <v>170</v>
      </c>
      <c r="C85" t="s">
        <v>367</v>
      </c>
      <c r="D85">
        <v>3</v>
      </c>
      <c r="E85" t="s">
        <v>95</v>
      </c>
      <c r="F85" s="2">
        <v>45933</v>
      </c>
      <c r="G85" s="20">
        <v>281</v>
      </c>
      <c r="H85" s="20">
        <v>309.10000000000002</v>
      </c>
      <c r="I85" s="20">
        <v>944.46</v>
      </c>
      <c r="J85" s="20">
        <f t="shared" si="2"/>
        <v>28.100000000000023</v>
      </c>
      <c r="K85" s="20">
        <f t="shared" si="3"/>
        <v>84.300000000000068</v>
      </c>
    </row>
    <row r="86" spans="1:11" x14ac:dyDescent="0.35">
      <c r="A86">
        <v>85</v>
      </c>
      <c r="B86" t="s">
        <v>171</v>
      </c>
      <c r="C86" t="s">
        <v>367</v>
      </c>
      <c r="D86">
        <v>2</v>
      </c>
      <c r="E86" t="s">
        <v>95</v>
      </c>
      <c r="F86" s="2">
        <v>45933</v>
      </c>
      <c r="G86" s="20">
        <v>55.154545454545449</v>
      </c>
      <c r="H86" s="20">
        <v>60.67</v>
      </c>
      <c r="I86" s="20">
        <v>123.58</v>
      </c>
      <c r="J86" s="20">
        <f t="shared" si="2"/>
        <v>5.5154545454545527</v>
      </c>
      <c r="K86" s="20">
        <f t="shared" si="3"/>
        <v>11.030909090909105</v>
      </c>
    </row>
    <row r="87" spans="1:11" x14ac:dyDescent="0.35">
      <c r="A87">
        <v>86</v>
      </c>
      <c r="B87" t="s">
        <v>172</v>
      </c>
      <c r="C87" t="s">
        <v>368</v>
      </c>
      <c r="D87">
        <v>20</v>
      </c>
      <c r="E87" t="s">
        <v>95</v>
      </c>
      <c r="F87" s="2">
        <v>45933</v>
      </c>
      <c r="G87" s="20">
        <v>17.09090909090909</v>
      </c>
      <c r="H87" s="20">
        <v>18.8</v>
      </c>
      <c r="I87" s="20">
        <v>382.96</v>
      </c>
      <c r="J87" s="20">
        <f t="shared" si="2"/>
        <v>1.7090909090909108</v>
      </c>
      <c r="K87" s="20">
        <f t="shared" si="3"/>
        <v>34.181818181818215</v>
      </c>
    </row>
    <row r="88" spans="1:11" x14ac:dyDescent="0.35">
      <c r="A88">
        <v>87</v>
      </c>
      <c r="B88" t="s">
        <v>173</v>
      </c>
      <c r="C88" t="s">
        <v>368</v>
      </c>
      <c r="D88">
        <v>1</v>
      </c>
      <c r="E88" t="s">
        <v>95</v>
      </c>
      <c r="F88" s="2">
        <v>45933</v>
      </c>
      <c r="G88" s="20">
        <v>150.05454545454543</v>
      </c>
      <c r="H88" s="20">
        <v>165.06</v>
      </c>
      <c r="I88" s="20">
        <v>168.11</v>
      </c>
      <c r="J88" s="20">
        <f t="shared" si="2"/>
        <v>15.005454545454569</v>
      </c>
      <c r="K88" s="20">
        <f t="shared" si="3"/>
        <v>15.005454545454569</v>
      </c>
    </row>
    <row r="89" spans="1:11" x14ac:dyDescent="0.35">
      <c r="A89">
        <v>88</v>
      </c>
      <c r="B89" t="s">
        <v>183</v>
      </c>
      <c r="C89" t="s">
        <v>368</v>
      </c>
      <c r="D89">
        <v>12</v>
      </c>
      <c r="E89" t="s">
        <v>131</v>
      </c>
      <c r="F89" s="2">
        <v>45934</v>
      </c>
      <c r="G89" s="20">
        <v>36.918181818181814</v>
      </c>
      <c r="H89" s="20">
        <v>40.61</v>
      </c>
      <c r="I89" s="20">
        <v>496.34</v>
      </c>
      <c r="J89" s="20">
        <f t="shared" si="2"/>
        <v>3.691818181818185</v>
      </c>
      <c r="K89" s="20">
        <f t="shared" si="3"/>
        <v>44.30181818181822</v>
      </c>
    </row>
    <row r="90" spans="1:11" x14ac:dyDescent="0.35">
      <c r="A90">
        <v>89</v>
      </c>
      <c r="B90" t="s">
        <v>98</v>
      </c>
      <c r="C90" t="s">
        <v>368</v>
      </c>
      <c r="D90">
        <v>1</v>
      </c>
      <c r="E90" t="s">
        <v>131</v>
      </c>
      <c r="F90" s="2">
        <v>45934</v>
      </c>
      <c r="G90" s="20">
        <v>177.93636363636361</v>
      </c>
      <c r="H90" s="20">
        <v>195.73</v>
      </c>
      <c r="I90" s="20">
        <v>199.36</v>
      </c>
      <c r="J90" s="20">
        <f t="shared" si="2"/>
        <v>17.793636363636381</v>
      </c>
      <c r="K90" s="20">
        <f t="shared" si="3"/>
        <v>17.793636363636381</v>
      </c>
    </row>
    <row r="91" spans="1:11" x14ac:dyDescent="0.35">
      <c r="A91">
        <v>90</v>
      </c>
      <c r="B91" t="s">
        <v>184</v>
      </c>
      <c r="C91" t="s">
        <v>365</v>
      </c>
      <c r="D91">
        <v>19</v>
      </c>
      <c r="E91" t="s">
        <v>131</v>
      </c>
      <c r="F91" s="2">
        <v>45934</v>
      </c>
      <c r="G91" s="20">
        <v>16.681818181818183</v>
      </c>
      <c r="H91" s="20">
        <v>18.350000000000001</v>
      </c>
      <c r="I91" s="20">
        <v>366.09</v>
      </c>
      <c r="J91" s="20">
        <f t="shared" si="2"/>
        <v>1.668181818181818</v>
      </c>
      <c r="K91" s="20">
        <f t="shared" si="3"/>
        <v>31.695454545454542</v>
      </c>
    </row>
    <row r="92" spans="1:11" x14ac:dyDescent="0.35">
      <c r="A92">
        <v>91</v>
      </c>
      <c r="B92" t="s">
        <v>188</v>
      </c>
      <c r="C92" t="s">
        <v>1076</v>
      </c>
      <c r="D92">
        <v>3</v>
      </c>
      <c r="E92" t="s">
        <v>95</v>
      </c>
      <c r="F92" s="2">
        <v>45934</v>
      </c>
      <c r="G92" s="20">
        <v>72.545454545454533</v>
      </c>
      <c r="H92" s="20">
        <v>79.8</v>
      </c>
      <c r="I92" s="20">
        <v>243.84</v>
      </c>
      <c r="J92" s="20">
        <f t="shared" si="2"/>
        <v>7.2545454545454646</v>
      </c>
      <c r="K92" s="20">
        <f t="shared" si="3"/>
        <v>21.763636363636394</v>
      </c>
    </row>
    <row r="93" spans="1:11" x14ac:dyDescent="0.35">
      <c r="A93">
        <v>92</v>
      </c>
      <c r="B93" t="s">
        <v>189</v>
      </c>
      <c r="C93" t="s">
        <v>361</v>
      </c>
      <c r="D93">
        <v>1</v>
      </c>
      <c r="E93" t="s">
        <v>95</v>
      </c>
      <c r="F93" s="2">
        <v>45934</v>
      </c>
      <c r="G93" s="20">
        <v>475.22727272727269</v>
      </c>
      <c r="H93" s="20">
        <v>522.75</v>
      </c>
      <c r="I93" s="20">
        <v>532.42999999999995</v>
      </c>
      <c r="J93" s="20">
        <f t="shared" si="2"/>
        <v>47.522727272727309</v>
      </c>
      <c r="K93" s="20">
        <f t="shared" si="3"/>
        <v>47.522727272727309</v>
      </c>
    </row>
    <row r="94" spans="1:11" x14ac:dyDescent="0.35">
      <c r="A94">
        <v>93</v>
      </c>
      <c r="B94" t="s">
        <v>190</v>
      </c>
      <c r="C94" t="s">
        <v>367</v>
      </c>
      <c r="D94">
        <v>2</v>
      </c>
      <c r="E94" t="s">
        <v>95</v>
      </c>
      <c r="F94" s="2">
        <v>45934</v>
      </c>
      <c r="G94" s="20">
        <v>64.772727272727266</v>
      </c>
      <c r="H94" s="20">
        <v>71.25</v>
      </c>
      <c r="I94" s="20">
        <v>145.15</v>
      </c>
      <c r="J94" s="20">
        <f t="shared" si="2"/>
        <v>6.4772727272727337</v>
      </c>
      <c r="K94" s="20">
        <f t="shared" si="3"/>
        <v>12.954545454545467</v>
      </c>
    </row>
    <row r="95" spans="1:11" x14ac:dyDescent="0.35">
      <c r="A95">
        <v>94</v>
      </c>
      <c r="B95" t="s">
        <v>191</v>
      </c>
      <c r="C95" t="s">
        <v>365</v>
      </c>
      <c r="D95">
        <v>6</v>
      </c>
      <c r="E95" t="s">
        <v>95</v>
      </c>
      <c r="F95" s="2">
        <v>45934</v>
      </c>
      <c r="G95" s="20">
        <v>267.0454545454545</v>
      </c>
      <c r="H95" s="20">
        <v>293.75</v>
      </c>
      <c r="I95" s="20">
        <v>1795.11</v>
      </c>
      <c r="J95" s="20">
        <f t="shared" si="2"/>
        <v>26.704545454545496</v>
      </c>
      <c r="K95" s="20">
        <f t="shared" si="3"/>
        <v>160.22727272727298</v>
      </c>
    </row>
    <row r="96" spans="1:11" x14ac:dyDescent="0.35">
      <c r="A96">
        <v>95</v>
      </c>
      <c r="B96" t="s">
        <v>196</v>
      </c>
      <c r="C96" t="s">
        <v>361</v>
      </c>
      <c r="D96">
        <v>1</v>
      </c>
      <c r="E96" t="s">
        <v>37</v>
      </c>
      <c r="F96" s="2">
        <v>45934</v>
      </c>
      <c r="G96" s="20">
        <v>383.09999999999997</v>
      </c>
      <c r="H96" s="20">
        <v>421.41</v>
      </c>
      <c r="I96" s="20">
        <v>429.21</v>
      </c>
      <c r="J96" s="20">
        <f t="shared" si="2"/>
        <v>38.310000000000059</v>
      </c>
      <c r="K96" s="20">
        <f t="shared" si="3"/>
        <v>38.310000000000059</v>
      </c>
    </row>
    <row r="97" spans="1:11" x14ac:dyDescent="0.35">
      <c r="A97">
        <v>96</v>
      </c>
      <c r="B97" t="s">
        <v>16</v>
      </c>
      <c r="C97" t="s">
        <v>361</v>
      </c>
      <c r="D97">
        <v>5</v>
      </c>
      <c r="E97" t="s">
        <v>37</v>
      </c>
      <c r="F97" s="2">
        <v>45934</v>
      </c>
      <c r="G97" s="20">
        <v>169.49090909090907</v>
      </c>
      <c r="H97" s="20">
        <v>186.44</v>
      </c>
      <c r="I97" s="20">
        <v>949.45</v>
      </c>
      <c r="J97" s="20">
        <f t="shared" si="2"/>
        <v>16.949090909090927</v>
      </c>
      <c r="K97" s="20">
        <f t="shared" si="3"/>
        <v>84.745454545454635</v>
      </c>
    </row>
    <row r="98" spans="1:11" x14ac:dyDescent="0.35">
      <c r="A98">
        <v>97</v>
      </c>
      <c r="B98" t="s">
        <v>214</v>
      </c>
      <c r="C98" t="s">
        <v>363</v>
      </c>
      <c r="D98">
        <v>1</v>
      </c>
      <c r="E98" t="s">
        <v>37</v>
      </c>
      <c r="F98" s="2">
        <v>45934</v>
      </c>
      <c r="G98" s="20">
        <v>175.38181818181815</v>
      </c>
      <c r="H98" s="20">
        <v>192.92</v>
      </c>
      <c r="I98" s="20">
        <v>223.1</v>
      </c>
      <c r="J98" s="20">
        <f t="shared" si="2"/>
        <v>17.53818181818184</v>
      </c>
      <c r="K98" s="20">
        <f t="shared" si="3"/>
        <v>17.53818181818184</v>
      </c>
    </row>
    <row r="99" spans="1:11" x14ac:dyDescent="0.35">
      <c r="A99">
        <v>98</v>
      </c>
      <c r="B99" t="s">
        <v>197</v>
      </c>
      <c r="C99" t="s">
        <v>1077</v>
      </c>
      <c r="D99">
        <v>2</v>
      </c>
      <c r="E99" t="s">
        <v>37</v>
      </c>
      <c r="F99" s="2">
        <v>45934</v>
      </c>
      <c r="G99" s="20">
        <v>857.93636363636358</v>
      </c>
      <c r="H99" s="20">
        <v>943.73</v>
      </c>
      <c r="I99" s="20">
        <v>2160.4</v>
      </c>
      <c r="J99" s="20">
        <f t="shared" si="2"/>
        <v>85.793636363636438</v>
      </c>
      <c r="K99" s="20">
        <f t="shared" si="3"/>
        <v>171.58727272727288</v>
      </c>
    </row>
    <row r="100" spans="1:11" x14ac:dyDescent="0.35">
      <c r="A100">
        <v>99</v>
      </c>
      <c r="B100" t="s">
        <v>214</v>
      </c>
      <c r="C100" t="s">
        <v>363</v>
      </c>
      <c r="D100">
        <v>1</v>
      </c>
      <c r="E100" t="s">
        <v>37</v>
      </c>
      <c r="F100" s="2">
        <v>45934</v>
      </c>
      <c r="G100" s="20">
        <v>53.245454545454542</v>
      </c>
      <c r="H100" s="20">
        <v>58.57</v>
      </c>
      <c r="I100" s="20">
        <v>67.739999999999995</v>
      </c>
      <c r="J100" s="20">
        <f t="shared" si="2"/>
        <v>5.3245454545454578</v>
      </c>
      <c r="K100" s="20">
        <f t="shared" si="3"/>
        <v>5.3245454545454578</v>
      </c>
    </row>
    <row r="101" spans="1:11" x14ac:dyDescent="0.35">
      <c r="A101">
        <v>100</v>
      </c>
      <c r="B101" t="s">
        <v>198</v>
      </c>
      <c r="C101" t="s">
        <v>1075</v>
      </c>
      <c r="D101">
        <v>1</v>
      </c>
      <c r="E101" t="s">
        <v>37</v>
      </c>
      <c r="F101" s="2">
        <v>45934</v>
      </c>
      <c r="G101" s="20">
        <v>202.6</v>
      </c>
      <c r="H101" s="20">
        <v>222.86</v>
      </c>
      <c r="I101" s="20">
        <v>226.97</v>
      </c>
      <c r="J101" s="20">
        <f t="shared" si="2"/>
        <v>20.260000000000019</v>
      </c>
      <c r="K101" s="20">
        <f t="shared" si="3"/>
        <v>20.260000000000019</v>
      </c>
    </row>
    <row r="102" spans="1:11" x14ac:dyDescent="0.35">
      <c r="A102">
        <v>101</v>
      </c>
      <c r="B102" t="s">
        <v>199</v>
      </c>
      <c r="C102" t="s">
        <v>365</v>
      </c>
      <c r="D102">
        <v>1</v>
      </c>
      <c r="E102" t="s">
        <v>37</v>
      </c>
      <c r="F102" s="2">
        <v>45934</v>
      </c>
      <c r="G102" s="20">
        <v>181.81818181818181</v>
      </c>
      <c r="H102" s="20">
        <v>200</v>
      </c>
      <c r="I102" s="20">
        <v>203.7</v>
      </c>
      <c r="J102" s="20">
        <f t="shared" si="2"/>
        <v>18.181818181818187</v>
      </c>
      <c r="K102" s="20">
        <f t="shared" si="3"/>
        <v>18.181818181818187</v>
      </c>
    </row>
    <row r="103" spans="1:11" x14ac:dyDescent="0.35">
      <c r="A103">
        <v>102</v>
      </c>
      <c r="B103" t="s">
        <v>200</v>
      </c>
      <c r="C103" t="s">
        <v>368</v>
      </c>
      <c r="D103">
        <v>1</v>
      </c>
      <c r="E103" t="s">
        <v>37</v>
      </c>
      <c r="F103" s="2">
        <v>45934</v>
      </c>
      <c r="G103" s="20">
        <v>116.94545454545452</v>
      </c>
      <c r="H103" s="20">
        <v>128.63999999999999</v>
      </c>
      <c r="I103" s="20">
        <v>131.02000000000001</v>
      </c>
      <c r="J103" s="20">
        <f t="shared" si="2"/>
        <v>11.694545454545462</v>
      </c>
      <c r="K103" s="20">
        <f t="shared" si="3"/>
        <v>11.694545454545462</v>
      </c>
    </row>
    <row r="104" spans="1:11" x14ac:dyDescent="0.35">
      <c r="A104">
        <v>103</v>
      </c>
      <c r="B104" t="s">
        <v>201</v>
      </c>
      <c r="C104" t="s">
        <v>1076</v>
      </c>
      <c r="D104">
        <v>1</v>
      </c>
      <c r="E104" t="s">
        <v>37</v>
      </c>
      <c r="F104" s="2">
        <v>45934</v>
      </c>
      <c r="G104" s="20">
        <v>79.218181818181819</v>
      </c>
      <c r="H104" s="20">
        <v>87.14</v>
      </c>
      <c r="I104" s="20">
        <v>88.75</v>
      </c>
      <c r="J104" s="20">
        <f t="shared" si="2"/>
        <v>7.9218181818181819</v>
      </c>
      <c r="K104" s="20">
        <f t="shared" si="3"/>
        <v>7.9218181818181819</v>
      </c>
    </row>
    <row r="105" spans="1:11" x14ac:dyDescent="0.35">
      <c r="A105">
        <v>104</v>
      </c>
      <c r="B105" t="s">
        <v>202</v>
      </c>
      <c r="C105" t="s">
        <v>1076</v>
      </c>
      <c r="D105">
        <v>10</v>
      </c>
      <c r="E105" t="s">
        <v>37</v>
      </c>
      <c r="F105" s="2">
        <v>45935</v>
      </c>
      <c r="G105" s="20">
        <v>85.718181818181819</v>
      </c>
      <c r="H105" s="20">
        <v>94.29</v>
      </c>
      <c r="I105" s="20">
        <v>960.35</v>
      </c>
      <c r="J105" s="20">
        <f t="shared" si="2"/>
        <v>8.5718181818181876</v>
      </c>
      <c r="K105" s="20">
        <f t="shared" si="3"/>
        <v>85.718181818181876</v>
      </c>
    </row>
    <row r="106" spans="1:11" x14ac:dyDescent="0.35">
      <c r="A106">
        <v>105</v>
      </c>
      <c r="B106" t="s">
        <v>203</v>
      </c>
      <c r="C106" t="s">
        <v>365</v>
      </c>
      <c r="D106">
        <v>9</v>
      </c>
      <c r="E106" t="s">
        <v>37</v>
      </c>
      <c r="F106" s="2">
        <v>45935</v>
      </c>
      <c r="G106" s="20">
        <v>39.218181818181819</v>
      </c>
      <c r="H106" s="20">
        <v>43.14</v>
      </c>
      <c r="I106" s="20">
        <v>395.45</v>
      </c>
      <c r="J106" s="20">
        <f t="shared" si="2"/>
        <v>3.9218181818181819</v>
      </c>
      <c r="K106" s="20">
        <f t="shared" si="3"/>
        <v>35.296363636363637</v>
      </c>
    </row>
    <row r="107" spans="1:11" x14ac:dyDescent="0.35">
      <c r="A107">
        <v>106</v>
      </c>
      <c r="B107" t="s">
        <v>204</v>
      </c>
      <c r="C107" t="s">
        <v>367</v>
      </c>
      <c r="D107">
        <v>3</v>
      </c>
      <c r="E107" t="s">
        <v>37</v>
      </c>
      <c r="F107" s="2">
        <v>45935</v>
      </c>
      <c r="G107" s="20">
        <v>35.627272727272725</v>
      </c>
      <c r="H107" s="20">
        <v>39.19</v>
      </c>
      <c r="I107" s="20">
        <v>120.98</v>
      </c>
      <c r="J107" s="20">
        <f t="shared" si="2"/>
        <v>3.5627272727272725</v>
      </c>
      <c r="K107" s="20">
        <f t="shared" si="3"/>
        <v>10.688181818181818</v>
      </c>
    </row>
    <row r="108" spans="1:11" x14ac:dyDescent="0.35">
      <c r="A108">
        <v>107</v>
      </c>
      <c r="B108" t="s">
        <v>217</v>
      </c>
      <c r="C108" t="s">
        <v>369</v>
      </c>
      <c r="D108">
        <v>1</v>
      </c>
      <c r="E108" t="s">
        <v>134</v>
      </c>
      <c r="F108" s="2">
        <v>45935</v>
      </c>
      <c r="G108" s="20">
        <v>95.609090909090909</v>
      </c>
      <c r="H108" s="20">
        <v>105.17</v>
      </c>
      <c r="I108" s="20">
        <v>108.23</v>
      </c>
      <c r="J108" s="20">
        <f t="shared" si="2"/>
        <v>9.5609090909090924</v>
      </c>
      <c r="K108" s="20">
        <f t="shared" si="3"/>
        <v>9.5609090909090924</v>
      </c>
    </row>
    <row r="109" spans="1:11" x14ac:dyDescent="0.35">
      <c r="A109">
        <v>108</v>
      </c>
      <c r="B109" t="s">
        <v>219</v>
      </c>
      <c r="C109" t="s">
        <v>1076</v>
      </c>
      <c r="D109">
        <v>10</v>
      </c>
      <c r="E109" t="s">
        <v>134</v>
      </c>
      <c r="F109" s="2">
        <v>45935</v>
      </c>
      <c r="G109" s="20">
        <v>120.12727272727271</v>
      </c>
      <c r="H109" s="20">
        <v>132.13999999999999</v>
      </c>
      <c r="I109" s="20">
        <v>1345.84</v>
      </c>
      <c r="J109" s="20">
        <f t="shared" si="2"/>
        <v>12.012727272727275</v>
      </c>
      <c r="K109" s="20">
        <f t="shared" si="3"/>
        <v>120.12727272727275</v>
      </c>
    </row>
    <row r="110" spans="1:11" x14ac:dyDescent="0.35">
      <c r="A110">
        <v>109</v>
      </c>
      <c r="B110" t="s">
        <v>221</v>
      </c>
      <c r="C110" t="s">
        <v>361</v>
      </c>
      <c r="D110">
        <v>1</v>
      </c>
      <c r="E110" t="s">
        <v>131</v>
      </c>
      <c r="F110" s="2">
        <v>45935</v>
      </c>
      <c r="G110" s="20">
        <v>239.75454545454545</v>
      </c>
      <c r="H110" s="20">
        <v>263.73</v>
      </c>
      <c r="I110" s="20">
        <v>301.86</v>
      </c>
      <c r="J110" s="20">
        <f t="shared" si="2"/>
        <v>23.975454545454568</v>
      </c>
      <c r="K110" s="20">
        <f t="shared" si="3"/>
        <v>23.975454545454568</v>
      </c>
    </row>
    <row r="111" spans="1:11" x14ac:dyDescent="0.35">
      <c r="A111">
        <v>110</v>
      </c>
      <c r="B111" t="s">
        <v>223</v>
      </c>
      <c r="C111" t="s">
        <v>367</v>
      </c>
      <c r="D111">
        <v>4</v>
      </c>
      <c r="E111" t="s">
        <v>131</v>
      </c>
      <c r="F111" s="2">
        <v>45935</v>
      </c>
      <c r="G111" s="20">
        <v>138.40909090909091</v>
      </c>
      <c r="H111" s="20">
        <v>152.25</v>
      </c>
      <c r="I111" s="20">
        <v>620.27</v>
      </c>
      <c r="J111" s="20">
        <f t="shared" si="2"/>
        <v>13.840909090909093</v>
      </c>
      <c r="K111" s="20">
        <f t="shared" si="3"/>
        <v>55.363636363636374</v>
      </c>
    </row>
    <row r="112" spans="1:11" x14ac:dyDescent="0.35">
      <c r="A112">
        <v>111</v>
      </c>
      <c r="B112" t="s">
        <v>225</v>
      </c>
      <c r="C112" t="s">
        <v>367</v>
      </c>
      <c r="D112">
        <v>4</v>
      </c>
      <c r="E112" t="s">
        <v>131</v>
      </c>
      <c r="F112" s="2">
        <v>45935</v>
      </c>
      <c r="G112" s="20">
        <v>13.218181818181817</v>
      </c>
      <c r="H112" s="20">
        <v>14.54</v>
      </c>
      <c r="I112" s="20">
        <v>59.24</v>
      </c>
      <c r="J112" s="20">
        <f t="shared" si="2"/>
        <v>1.3218181818181822</v>
      </c>
      <c r="K112" s="20">
        <f t="shared" si="3"/>
        <v>5.2872727272727289</v>
      </c>
    </row>
    <row r="113" spans="1:11" x14ac:dyDescent="0.35">
      <c r="A113">
        <v>112</v>
      </c>
      <c r="B113" t="s">
        <v>226</v>
      </c>
      <c r="C113" t="s">
        <v>365</v>
      </c>
      <c r="D113">
        <v>2</v>
      </c>
      <c r="E113" t="s">
        <v>131</v>
      </c>
      <c r="F113" s="2">
        <v>45935</v>
      </c>
      <c r="G113" s="20">
        <v>72.72727272727272</v>
      </c>
      <c r="H113" s="20">
        <v>80</v>
      </c>
      <c r="I113" s="20">
        <v>162.96</v>
      </c>
      <c r="J113" s="20">
        <f t="shared" si="2"/>
        <v>7.2727272727272805</v>
      </c>
      <c r="K113" s="20">
        <f t="shared" si="3"/>
        <v>14.545454545454561</v>
      </c>
    </row>
    <row r="114" spans="1:11" x14ac:dyDescent="0.35">
      <c r="A114">
        <v>113</v>
      </c>
      <c r="B114" t="s">
        <v>227</v>
      </c>
      <c r="C114" t="s">
        <v>366</v>
      </c>
      <c r="D114">
        <v>10</v>
      </c>
      <c r="E114" t="s">
        <v>131</v>
      </c>
      <c r="F114" s="2">
        <v>45935</v>
      </c>
      <c r="G114" s="20">
        <v>11.918181818181816</v>
      </c>
      <c r="H114" s="20">
        <v>13.11</v>
      </c>
      <c r="I114" s="20">
        <v>137.66</v>
      </c>
      <c r="J114" s="20">
        <f t="shared" si="2"/>
        <v>1.1918181818181832</v>
      </c>
      <c r="K114" s="20">
        <f t="shared" si="3"/>
        <v>11.918181818181832</v>
      </c>
    </row>
    <row r="115" spans="1:11" x14ac:dyDescent="0.35">
      <c r="A115">
        <v>114</v>
      </c>
      <c r="B115" t="s">
        <v>231</v>
      </c>
      <c r="C115" t="s">
        <v>1076</v>
      </c>
      <c r="D115">
        <v>133</v>
      </c>
      <c r="E115" t="s">
        <v>131</v>
      </c>
      <c r="F115" s="2">
        <v>45935</v>
      </c>
      <c r="G115" s="20">
        <v>4.545454545454545</v>
      </c>
      <c r="H115" s="20">
        <v>5</v>
      </c>
      <c r="I115" s="20">
        <v>698.26</v>
      </c>
      <c r="J115" s="20">
        <f t="shared" si="2"/>
        <v>0.45454545454545503</v>
      </c>
      <c r="K115" s="20">
        <f t="shared" si="3"/>
        <v>60.454545454545517</v>
      </c>
    </row>
    <row r="116" spans="1:11" x14ac:dyDescent="0.35">
      <c r="A116">
        <v>115</v>
      </c>
      <c r="B116" t="s">
        <v>232</v>
      </c>
      <c r="C116" t="s">
        <v>365</v>
      </c>
      <c r="D116">
        <v>38</v>
      </c>
      <c r="E116" t="s">
        <v>131</v>
      </c>
      <c r="F116" s="2">
        <v>45935</v>
      </c>
      <c r="G116" s="20">
        <v>10.909090909090908</v>
      </c>
      <c r="H116" s="20">
        <v>12</v>
      </c>
      <c r="I116" s="20">
        <v>478.8</v>
      </c>
      <c r="J116" s="20">
        <f t="shared" si="2"/>
        <v>1.0909090909090917</v>
      </c>
      <c r="K116" s="20">
        <f t="shared" si="3"/>
        <v>41.454545454545482</v>
      </c>
    </row>
    <row r="117" spans="1:11" x14ac:dyDescent="0.35">
      <c r="A117">
        <v>116</v>
      </c>
      <c r="B117" t="s">
        <v>233</v>
      </c>
      <c r="C117" t="s">
        <v>1075</v>
      </c>
      <c r="D117">
        <v>38</v>
      </c>
      <c r="E117" t="s">
        <v>131</v>
      </c>
      <c r="F117" s="2">
        <v>45935</v>
      </c>
      <c r="G117" s="20">
        <v>38.636363636363633</v>
      </c>
      <c r="H117" s="20">
        <v>42.5</v>
      </c>
      <c r="I117" s="20">
        <v>1695.76</v>
      </c>
      <c r="J117" s="20">
        <f t="shared" si="2"/>
        <v>3.8636363636363669</v>
      </c>
      <c r="K117" s="20">
        <f t="shared" si="3"/>
        <v>146.81818181818193</v>
      </c>
    </row>
    <row r="118" spans="1:11" x14ac:dyDescent="0.35">
      <c r="A118">
        <v>117</v>
      </c>
      <c r="B118" t="s">
        <v>234</v>
      </c>
      <c r="C118" t="s">
        <v>1076</v>
      </c>
      <c r="D118">
        <v>5</v>
      </c>
      <c r="E118" t="s">
        <v>131</v>
      </c>
      <c r="F118" s="2">
        <v>45935</v>
      </c>
      <c r="G118" s="20">
        <v>122.03636363636363</v>
      </c>
      <c r="H118" s="20">
        <v>134.24</v>
      </c>
      <c r="I118" s="20">
        <v>683.62</v>
      </c>
      <c r="J118" s="20">
        <f t="shared" si="2"/>
        <v>12.203636363636377</v>
      </c>
      <c r="K118" s="20">
        <f t="shared" si="3"/>
        <v>61.018181818181887</v>
      </c>
    </row>
    <row r="119" spans="1:11" x14ac:dyDescent="0.35">
      <c r="A119">
        <v>118</v>
      </c>
      <c r="B119" t="s">
        <v>239</v>
      </c>
      <c r="C119" t="s">
        <v>1076</v>
      </c>
      <c r="D119">
        <v>2</v>
      </c>
      <c r="E119" t="s">
        <v>131</v>
      </c>
      <c r="F119" s="2">
        <v>45936</v>
      </c>
      <c r="G119" s="20">
        <v>182.46363636363637</v>
      </c>
      <c r="H119" s="20">
        <v>200.71</v>
      </c>
      <c r="I119" s="20">
        <v>408.84</v>
      </c>
      <c r="J119" s="20">
        <f t="shared" si="2"/>
        <v>18.24636363636364</v>
      </c>
      <c r="K119" s="20">
        <f t="shared" si="3"/>
        <v>36.492727272727279</v>
      </c>
    </row>
    <row r="120" spans="1:11" x14ac:dyDescent="0.35">
      <c r="A120">
        <v>119</v>
      </c>
      <c r="B120" t="s">
        <v>241</v>
      </c>
      <c r="C120" t="s">
        <v>1075</v>
      </c>
      <c r="D120">
        <v>1</v>
      </c>
      <c r="E120" t="s">
        <v>131</v>
      </c>
      <c r="F120" s="2">
        <v>45936</v>
      </c>
      <c r="G120" s="20">
        <v>308.44545454545454</v>
      </c>
      <c r="H120" s="20">
        <v>339.29</v>
      </c>
      <c r="I120" s="20">
        <v>345.57</v>
      </c>
      <c r="J120" s="20">
        <f t="shared" si="2"/>
        <v>30.844545454545482</v>
      </c>
      <c r="K120" s="20">
        <f t="shared" si="3"/>
        <v>30.844545454545482</v>
      </c>
    </row>
    <row r="121" spans="1:11" x14ac:dyDescent="0.35">
      <c r="A121">
        <v>120</v>
      </c>
      <c r="B121" t="s">
        <v>242</v>
      </c>
      <c r="C121" t="s">
        <v>1076</v>
      </c>
      <c r="D121">
        <v>1</v>
      </c>
      <c r="E121" t="s">
        <v>131</v>
      </c>
      <c r="F121" s="2">
        <v>45936</v>
      </c>
      <c r="G121" s="20">
        <v>457.85454545454542</v>
      </c>
      <c r="H121" s="20">
        <v>503.64</v>
      </c>
      <c r="I121" s="20">
        <v>512.95000000000005</v>
      </c>
      <c r="J121" s="20">
        <f t="shared" si="2"/>
        <v>45.78545454545457</v>
      </c>
      <c r="K121" s="20">
        <f t="shared" si="3"/>
        <v>45.78545454545457</v>
      </c>
    </row>
    <row r="122" spans="1:11" x14ac:dyDescent="0.35">
      <c r="A122">
        <v>121</v>
      </c>
      <c r="B122" t="s">
        <v>243</v>
      </c>
      <c r="C122" t="s">
        <v>1076</v>
      </c>
      <c r="D122">
        <v>1</v>
      </c>
      <c r="E122" t="s">
        <v>131</v>
      </c>
      <c r="F122" s="2">
        <v>45936</v>
      </c>
      <c r="G122" s="20">
        <v>47.063636363636363</v>
      </c>
      <c r="H122" s="20">
        <v>51.77</v>
      </c>
      <c r="I122" s="20">
        <v>54.35</v>
      </c>
      <c r="J122" s="20">
        <f t="shared" si="2"/>
        <v>4.7063636363636405</v>
      </c>
      <c r="K122" s="20">
        <f t="shared" si="3"/>
        <v>4.7063636363636405</v>
      </c>
    </row>
    <row r="123" spans="1:11" x14ac:dyDescent="0.35">
      <c r="A123">
        <v>122</v>
      </c>
      <c r="B123" t="s">
        <v>244</v>
      </c>
      <c r="C123" t="s">
        <v>1076</v>
      </c>
      <c r="D123">
        <v>5</v>
      </c>
      <c r="E123" t="s">
        <v>131</v>
      </c>
      <c r="F123" s="2">
        <v>45936</v>
      </c>
      <c r="G123" s="20">
        <v>86.75454545454545</v>
      </c>
      <c r="H123" s="20">
        <v>95.43</v>
      </c>
      <c r="I123" s="20">
        <v>485.98</v>
      </c>
      <c r="J123" s="20">
        <f t="shared" si="2"/>
        <v>8.6754545454545564</v>
      </c>
      <c r="K123" s="20">
        <f t="shared" si="3"/>
        <v>43.377272727272782</v>
      </c>
    </row>
    <row r="124" spans="1:11" x14ac:dyDescent="0.35">
      <c r="A124">
        <v>123</v>
      </c>
      <c r="B124" t="s">
        <v>245</v>
      </c>
      <c r="C124" t="s">
        <v>367</v>
      </c>
      <c r="D124">
        <v>3</v>
      </c>
      <c r="E124" t="s">
        <v>131</v>
      </c>
      <c r="F124" s="2">
        <v>45936</v>
      </c>
      <c r="G124" s="20">
        <v>111.99090909090908</v>
      </c>
      <c r="H124" s="20">
        <v>123.19</v>
      </c>
      <c r="I124" s="20">
        <v>376.4</v>
      </c>
      <c r="J124" s="20">
        <f t="shared" si="2"/>
        <v>11.199090909090913</v>
      </c>
      <c r="K124" s="20">
        <f t="shared" si="3"/>
        <v>33.597272727272738</v>
      </c>
    </row>
    <row r="125" spans="1:11" x14ac:dyDescent="0.35">
      <c r="A125">
        <v>124</v>
      </c>
      <c r="B125" t="s">
        <v>204</v>
      </c>
      <c r="C125" t="s">
        <v>367</v>
      </c>
      <c r="D125">
        <v>2</v>
      </c>
      <c r="E125" t="s">
        <v>131</v>
      </c>
      <c r="F125" s="2">
        <v>45936</v>
      </c>
      <c r="G125" s="20">
        <v>132.68181818181816</v>
      </c>
      <c r="H125" s="20">
        <v>145.94999999999999</v>
      </c>
      <c r="I125" s="20">
        <v>300.36</v>
      </c>
      <c r="J125" s="20">
        <f t="shared" si="2"/>
        <v>13.26818181818183</v>
      </c>
      <c r="K125" s="20">
        <f t="shared" si="3"/>
        <v>26.53636363636366</v>
      </c>
    </row>
    <row r="126" spans="1:11" x14ac:dyDescent="0.35">
      <c r="A126">
        <v>125</v>
      </c>
      <c r="B126" t="s">
        <v>246</v>
      </c>
      <c r="C126" t="s">
        <v>365</v>
      </c>
      <c r="D126">
        <v>4</v>
      </c>
      <c r="E126" t="s">
        <v>131</v>
      </c>
      <c r="F126" s="2">
        <v>45936</v>
      </c>
      <c r="G126" s="20">
        <v>145.22727272727272</v>
      </c>
      <c r="H126" s="20">
        <v>159.75</v>
      </c>
      <c r="I126" s="20">
        <v>657.54</v>
      </c>
      <c r="J126" s="20">
        <f t="shared" si="2"/>
        <v>14.52272727272728</v>
      </c>
      <c r="K126" s="20">
        <f t="shared" si="3"/>
        <v>58.090909090909122</v>
      </c>
    </row>
    <row r="127" spans="1:11" x14ac:dyDescent="0.35">
      <c r="A127">
        <v>126</v>
      </c>
      <c r="B127" t="s">
        <v>247</v>
      </c>
      <c r="C127" t="s">
        <v>362</v>
      </c>
      <c r="D127">
        <v>30</v>
      </c>
      <c r="E127" t="s">
        <v>131</v>
      </c>
      <c r="F127" s="2">
        <v>45936</v>
      </c>
      <c r="G127" s="20">
        <v>5.1090909090909085</v>
      </c>
      <c r="H127" s="20">
        <v>5.62</v>
      </c>
      <c r="I127" s="20">
        <v>171.72</v>
      </c>
      <c r="J127" s="20">
        <f t="shared" si="2"/>
        <v>0.51090909090909165</v>
      </c>
      <c r="K127" s="20">
        <f t="shared" si="3"/>
        <v>15.327272727272749</v>
      </c>
    </row>
    <row r="128" spans="1:11" x14ac:dyDescent="0.35">
      <c r="A128">
        <v>127</v>
      </c>
      <c r="B128" t="s">
        <v>248</v>
      </c>
      <c r="C128" t="s">
        <v>368</v>
      </c>
      <c r="D128">
        <v>2</v>
      </c>
      <c r="E128" t="s">
        <v>131</v>
      </c>
      <c r="F128" s="2">
        <v>45936</v>
      </c>
      <c r="G128" s="20">
        <v>90.272727272727266</v>
      </c>
      <c r="H128" s="20">
        <v>99.3</v>
      </c>
      <c r="I128" s="20">
        <v>202.28</v>
      </c>
      <c r="J128" s="20">
        <f t="shared" si="2"/>
        <v>9.0272727272727309</v>
      </c>
      <c r="K128" s="20">
        <f t="shared" si="3"/>
        <v>18.054545454545462</v>
      </c>
    </row>
    <row r="129" spans="1:11" x14ac:dyDescent="0.35">
      <c r="A129">
        <v>128</v>
      </c>
      <c r="B129" t="s">
        <v>249</v>
      </c>
      <c r="C129" t="s">
        <v>1077</v>
      </c>
      <c r="D129">
        <v>2</v>
      </c>
      <c r="E129" t="s">
        <v>131</v>
      </c>
      <c r="F129" s="2">
        <v>45936</v>
      </c>
      <c r="G129" s="20">
        <v>74.345454545454544</v>
      </c>
      <c r="H129" s="20">
        <v>81.78</v>
      </c>
      <c r="I129" s="20">
        <v>138.83000000000001</v>
      </c>
      <c r="J129" s="20">
        <f t="shared" si="2"/>
        <v>7.4345454545454572</v>
      </c>
      <c r="K129" s="20">
        <f t="shared" si="3"/>
        <v>14.869090909090914</v>
      </c>
    </row>
    <row r="130" spans="1:11" x14ac:dyDescent="0.35">
      <c r="A130">
        <v>129</v>
      </c>
      <c r="B130" t="s">
        <v>260</v>
      </c>
      <c r="C130" t="s">
        <v>1077</v>
      </c>
      <c r="D130">
        <v>1</v>
      </c>
      <c r="E130" t="s">
        <v>95</v>
      </c>
      <c r="F130" s="2">
        <v>45936</v>
      </c>
      <c r="G130" s="20">
        <v>766.23636363636354</v>
      </c>
      <c r="H130" s="20">
        <v>842.86</v>
      </c>
      <c r="I130" s="20">
        <v>858.45</v>
      </c>
      <c r="J130" s="20">
        <f t="shared" ref="J130:J193" si="4">H130-G130</f>
        <v>76.623636363636479</v>
      </c>
      <c r="K130" s="20">
        <f t="shared" ref="K130:K193" si="5">J130*D130</f>
        <v>76.623636363636479</v>
      </c>
    </row>
    <row r="131" spans="1:11" x14ac:dyDescent="0.35">
      <c r="A131">
        <v>130</v>
      </c>
      <c r="B131" t="s">
        <v>261</v>
      </c>
      <c r="C131" t="s">
        <v>364</v>
      </c>
      <c r="D131">
        <v>1</v>
      </c>
      <c r="E131" t="s">
        <v>95</v>
      </c>
      <c r="F131" s="2">
        <v>45936</v>
      </c>
      <c r="G131" s="20">
        <v>185.07272727272726</v>
      </c>
      <c r="H131" s="20">
        <v>203.58</v>
      </c>
      <c r="I131" s="20">
        <v>207.35</v>
      </c>
      <c r="J131" s="20">
        <f t="shared" si="4"/>
        <v>18.507272727272749</v>
      </c>
      <c r="K131" s="20">
        <f t="shared" si="5"/>
        <v>18.507272727272749</v>
      </c>
    </row>
    <row r="132" spans="1:11" x14ac:dyDescent="0.35">
      <c r="A132">
        <v>131</v>
      </c>
      <c r="B132" t="s">
        <v>262</v>
      </c>
      <c r="C132" t="s">
        <v>361</v>
      </c>
      <c r="D132">
        <v>2</v>
      </c>
      <c r="E132" t="s">
        <v>95</v>
      </c>
      <c r="F132" s="2">
        <v>45936</v>
      </c>
      <c r="G132" s="20">
        <v>97.399999999999991</v>
      </c>
      <c r="H132" s="20">
        <v>107.14</v>
      </c>
      <c r="I132" s="20">
        <v>421.95</v>
      </c>
      <c r="J132" s="20">
        <f t="shared" si="4"/>
        <v>9.7400000000000091</v>
      </c>
      <c r="K132" s="20">
        <f t="shared" si="5"/>
        <v>19.480000000000018</v>
      </c>
    </row>
    <row r="133" spans="1:11" x14ac:dyDescent="0.35">
      <c r="A133">
        <v>132</v>
      </c>
      <c r="B133" t="s">
        <v>263</v>
      </c>
      <c r="C133" t="s">
        <v>361</v>
      </c>
      <c r="D133">
        <v>1</v>
      </c>
      <c r="E133" t="s">
        <v>95</v>
      </c>
      <c r="F133" s="2">
        <v>45936</v>
      </c>
      <c r="G133" s="20">
        <v>253.24545454545452</v>
      </c>
      <c r="H133" s="20">
        <v>278.57</v>
      </c>
      <c r="I133" s="20">
        <v>283.73</v>
      </c>
      <c r="J133" s="20">
        <f t="shared" si="4"/>
        <v>25.324545454545472</v>
      </c>
      <c r="K133" s="20">
        <f t="shared" si="5"/>
        <v>25.324545454545472</v>
      </c>
    </row>
    <row r="134" spans="1:11" x14ac:dyDescent="0.35">
      <c r="A134">
        <v>133</v>
      </c>
      <c r="B134" t="s">
        <v>264</v>
      </c>
      <c r="C134" t="s">
        <v>367</v>
      </c>
      <c r="D134">
        <v>2</v>
      </c>
      <c r="E134" t="s">
        <v>95</v>
      </c>
      <c r="F134" s="2">
        <v>45936</v>
      </c>
      <c r="G134" s="20">
        <v>139.37272727272727</v>
      </c>
      <c r="H134" s="20">
        <v>153.31</v>
      </c>
      <c r="I134" s="20">
        <v>312.3</v>
      </c>
      <c r="J134" s="20">
        <f t="shared" si="4"/>
        <v>13.937272727272727</v>
      </c>
      <c r="K134" s="20">
        <f t="shared" si="5"/>
        <v>27.874545454545455</v>
      </c>
    </row>
    <row r="135" spans="1:11" x14ac:dyDescent="0.35">
      <c r="A135">
        <v>134</v>
      </c>
      <c r="B135" t="s">
        <v>262</v>
      </c>
      <c r="C135" t="s">
        <v>361</v>
      </c>
      <c r="D135">
        <v>1</v>
      </c>
      <c r="E135" t="s">
        <v>95</v>
      </c>
      <c r="F135" s="2">
        <v>45936</v>
      </c>
      <c r="G135" s="20">
        <v>383.09999999999997</v>
      </c>
      <c r="H135" s="20">
        <v>421.41</v>
      </c>
      <c r="I135" s="20">
        <v>429.21</v>
      </c>
      <c r="J135" s="20">
        <f t="shared" si="4"/>
        <v>38.310000000000059</v>
      </c>
      <c r="K135" s="20">
        <f t="shared" si="5"/>
        <v>38.310000000000059</v>
      </c>
    </row>
    <row r="136" spans="1:11" x14ac:dyDescent="0.35">
      <c r="A136">
        <v>135</v>
      </c>
      <c r="B136" t="s">
        <v>265</v>
      </c>
      <c r="C136" t="s">
        <v>361</v>
      </c>
      <c r="D136">
        <v>10</v>
      </c>
      <c r="E136" t="s">
        <v>95</v>
      </c>
      <c r="F136" s="2">
        <v>45936</v>
      </c>
      <c r="G136" s="20">
        <v>393.83636363636361</v>
      </c>
      <c r="H136" s="20">
        <v>433.22</v>
      </c>
      <c r="I136" s="20">
        <v>4412.3500000000004</v>
      </c>
      <c r="J136" s="20">
        <f t="shared" si="4"/>
        <v>39.383636363636413</v>
      </c>
      <c r="K136" s="20">
        <f t="shared" si="5"/>
        <v>393.83636363636413</v>
      </c>
    </row>
    <row r="137" spans="1:11" x14ac:dyDescent="0.35">
      <c r="A137">
        <v>136</v>
      </c>
      <c r="B137" t="s">
        <v>266</v>
      </c>
      <c r="C137" t="s">
        <v>368</v>
      </c>
      <c r="D137">
        <v>5</v>
      </c>
      <c r="E137" t="s">
        <v>95</v>
      </c>
      <c r="F137" s="2">
        <v>45936</v>
      </c>
      <c r="G137" s="20">
        <v>32.418181818181814</v>
      </c>
      <c r="H137" s="20">
        <v>35.659999999999997</v>
      </c>
      <c r="I137" s="20">
        <v>181.59</v>
      </c>
      <c r="J137" s="20">
        <f t="shared" si="4"/>
        <v>3.2418181818181822</v>
      </c>
      <c r="K137" s="20">
        <f t="shared" si="5"/>
        <v>16.209090909090911</v>
      </c>
    </row>
    <row r="138" spans="1:11" x14ac:dyDescent="0.35">
      <c r="A138">
        <v>137</v>
      </c>
      <c r="B138" t="s">
        <v>267</v>
      </c>
      <c r="C138" t="s">
        <v>368</v>
      </c>
      <c r="D138">
        <v>1</v>
      </c>
      <c r="E138" t="s">
        <v>95</v>
      </c>
      <c r="F138" s="2">
        <v>45936</v>
      </c>
      <c r="G138" s="20">
        <v>87.663636363636357</v>
      </c>
      <c r="H138" s="20">
        <v>96.43</v>
      </c>
      <c r="I138" s="20">
        <v>98.22</v>
      </c>
      <c r="J138" s="20">
        <f t="shared" si="4"/>
        <v>8.7663636363636499</v>
      </c>
      <c r="K138" s="20">
        <f t="shared" si="5"/>
        <v>8.7663636363636499</v>
      </c>
    </row>
    <row r="139" spans="1:11" x14ac:dyDescent="0.35">
      <c r="A139">
        <v>138</v>
      </c>
      <c r="B139" t="s">
        <v>268</v>
      </c>
      <c r="C139" t="s">
        <v>368</v>
      </c>
      <c r="D139">
        <v>1</v>
      </c>
      <c r="E139" t="s">
        <v>95</v>
      </c>
      <c r="F139" s="2">
        <v>45936</v>
      </c>
      <c r="G139" s="20">
        <v>110.93636363636362</v>
      </c>
      <c r="H139" s="20">
        <v>122.03</v>
      </c>
      <c r="I139" s="20">
        <v>124.29</v>
      </c>
      <c r="J139" s="20">
        <f t="shared" si="4"/>
        <v>11.093636363636378</v>
      </c>
      <c r="K139" s="20">
        <f t="shared" si="5"/>
        <v>11.093636363636378</v>
      </c>
    </row>
    <row r="140" spans="1:11" x14ac:dyDescent="0.35">
      <c r="A140">
        <v>139</v>
      </c>
      <c r="B140" t="s">
        <v>279</v>
      </c>
      <c r="C140" t="s">
        <v>367</v>
      </c>
      <c r="D140">
        <v>2</v>
      </c>
      <c r="E140" t="s">
        <v>37</v>
      </c>
      <c r="F140" s="2">
        <v>45936</v>
      </c>
      <c r="G140" s="20">
        <v>86.354545454545445</v>
      </c>
      <c r="H140" s="20">
        <v>94.99</v>
      </c>
      <c r="I140" s="20">
        <v>193.5</v>
      </c>
      <c r="J140" s="20">
        <f t="shared" si="4"/>
        <v>8.6354545454545502</v>
      </c>
      <c r="K140" s="20">
        <f t="shared" si="5"/>
        <v>17.2709090909091</v>
      </c>
    </row>
    <row r="141" spans="1:11" x14ac:dyDescent="0.35">
      <c r="A141">
        <v>140</v>
      </c>
      <c r="B141" t="s">
        <v>280</v>
      </c>
      <c r="C141" t="s">
        <v>361</v>
      </c>
      <c r="D141">
        <v>3</v>
      </c>
      <c r="E141" t="s">
        <v>37</v>
      </c>
      <c r="F141" s="2">
        <v>45936</v>
      </c>
      <c r="G141" s="20">
        <v>259.09090909090907</v>
      </c>
      <c r="H141" s="20">
        <v>285</v>
      </c>
      <c r="I141" s="20">
        <v>870.81</v>
      </c>
      <c r="J141" s="20">
        <f t="shared" si="4"/>
        <v>25.909090909090935</v>
      </c>
      <c r="K141" s="20">
        <f t="shared" si="5"/>
        <v>77.727272727272805</v>
      </c>
    </row>
    <row r="142" spans="1:11" x14ac:dyDescent="0.35">
      <c r="A142">
        <v>141</v>
      </c>
      <c r="B142" t="s">
        <v>281</v>
      </c>
      <c r="C142" t="s">
        <v>367</v>
      </c>
      <c r="D142">
        <v>3</v>
      </c>
      <c r="E142" t="s">
        <v>37</v>
      </c>
      <c r="F142" s="2">
        <v>45936</v>
      </c>
      <c r="G142" s="20">
        <v>120.78181818181818</v>
      </c>
      <c r="H142" s="20">
        <v>132.86000000000001</v>
      </c>
      <c r="I142" s="20">
        <v>405.96</v>
      </c>
      <c r="J142" s="20">
        <f t="shared" si="4"/>
        <v>12.078181818181832</v>
      </c>
      <c r="K142" s="20">
        <f t="shared" si="5"/>
        <v>36.234545454545497</v>
      </c>
    </row>
    <row r="143" spans="1:11" x14ac:dyDescent="0.35">
      <c r="A143">
        <v>142</v>
      </c>
      <c r="B143" t="s">
        <v>282</v>
      </c>
      <c r="C143" t="s">
        <v>361</v>
      </c>
      <c r="D143">
        <v>1</v>
      </c>
      <c r="E143" t="s">
        <v>37</v>
      </c>
      <c r="F143" s="2">
        <v>45936</v>
      </c>
      <c r="G143" s="20">
        <v>425.27272727272725</v>
      </c>
      <c r="H143" s="20">
        <v>467.8</v>
      </c>
      <c r="I143" s="20">
        <v>535.45000000000005</v>
      </c>
      <c r="J143" s="20">
        <f t="shared" si="4"/>
        <v>42.527272727272759</v>
      </c>
      <c r="K143" s="20">
        <f t="shared" si="5"/>
        <v>42.527272727272759</v>
      </c>
    </row>
    <row r="144" spans="1:11" x14ac:dyDescent="0.35">
      <c r="A144">
        <v>143</v>
      </c>
      <c r="B144" t="s">
        <v>283</v>
      </c>
      <c r="C144" t="s">
        <v>1077</v>
      </c>
      <c r="D144">
        <v>1</v>
      </c>
      <c r="E144" t="s">
        <v>37</v>
      </c>
      <c r="F144" s="2">
        <v>45936</v>
      </c>
      <c r="G144" s="20">
        <v>75.472727272727269</v>
      </c>
      <c r="H144" s="20">
        <v>83.02</v>
      </c>
      <c r="I144" s="20">
        <v>84.55</v>
      </c>
      <c r="J144" s="20">
        <f t="shared" si="4"/>
        <v>7.5472727272727269</v>
      </c>
      <c r="K144" s="20">
        <f t="shared" si="5"/>
        <v>7.5472727272727269</v>
      </c>
    </row>
    <row r="145" spans="1:11" x14ac:dyDescent="0.35">
      <c r="A145">
        <v>144</v>
      </c>
      <c r="B145" t="s">
        <v>284</v>
      </c>
      <c r="C145" t="s">
        <v>365</v>
      </c>
      <c r="D145">
        <v>1</v>
      </c>
      <c r="E145" t="s">
        <v>37</v>
      </c>
      <c r="F145" s="2">
        <v>45936</v>
      </c>
      <c r="G145" s="20">
        <v>67.709090909090904</v>
      </c>
      <c r="H145" s="20">
        <v>74.48</v>
      </c>
      <c r="I145" s="20">
        <v>75.87</v>
      </c>
      <c r="J145" s="20">
        <f t="shared" si="4"/>
        <v>6.7709090909091003</v>
      </c>
      <c r="K145" s="20">
        <f t="shared" si="5"/>
        <v>6.7709090909091003</v>
      </c>
    </row>
    <row r="146" spans="1:11" x14ac:dyDescent="0.35">
      <c r="A146">
        <v>145</v>
      </c>
      <c r="B146" t="s">
        <v>285</v>
      </c>
      <c r="C146" t="s">
        <v>1076</v>
      </c>
      <c r="D146">
        <v>6</v>
      </c>
      <c r="E146" t="s">
        <v>37</v>
      </c>
      <c r="F146" s="2">
        <v>45936</v>
      </c>
      <c r="G146" s="20">
        <v>65.454545454545453</v>
      </c>
      <c r="H146" s="20">
        <v>72</v>
      </c>
      <c r="I146" s="20">
        <v>403.32</v>
      </c>
      <c r="J146" s="20">
        <f t="shared" si="4"/>
        <v>6.5454545454545467</v>
      </c>
      <c r="K146" s="20">
        <f t="shared" si="5"/>
        <v>39.27272727272728</v>
      </c>
    </row>
    <row r="147" spans="1:11" x14ac:dyDescent="0.35">
      <c r="A147">
        <v>146</v>
      </c>
      <c r="B147" t="s">
        <v>286</v>
      </c>
      <c r="C147" t="s">
        <v>1076</v>
      </c>
      <c r="D147">
        <v>1</v>
      </c>
      <c r="E147" t="s">
        <v>37</v>
      </c>
      <c r="F147" s="2">
        <v>45936</v>
      </c>
      <c r="G147" s="20">
        <v>268.10909090909092</v>
      </c>
      <c r="H147" s="20">
        <v>294.92</v>
      </c>
      <c r="I147" s="20">
        <v>300.32</v>
      </c>
      <c r="J147" s="20">
        <f t="shared" si="4"/>
        <v>26.810909090909092</v>
      </c>
      <c r="K147" s="20">
        <f t="shared" si="5"/>
        <v>26.810909090909092</v>
      </c>
    </row>
    <row r="148" spans="1:11" x14ac:dyDescent="0.35">
      <c r="A148">
        <v>147</v>
      </c>
      <c r="B148" t="s">
        <v>286</v>
      </c>
      <c r="C148" t="s">
        <v>1076</v>
      </c>
      <c r="D148">
        <v>1</v>
      </c>
      <c r="E148" t="s">
        <v>37</v>
      </c>
      <c r="F148" s="2">
        <v>45936</v>
      </c>
      <c r="G148" s="20">
        <v>268.05454545454546</v>
      </c>
      <c r="H148" s="20">
        <v>294.86</v>
      </c>
      <c r="I148" s="20">
        <v>300.32</v>
      </c>
      <c r="J148" s="20">
        <f t="shared" si="4"/>
        <v>26.805454545454552</v>
      </c>
      <c r="K148" s="20">
        <f t="shared" si="5"/>
        <v>26.805454545454552</v>
      </c>
    </row>
    <row r="149" spans="1:11" x14ac:dyDescent="0.35">
      <c r="A149">
        <v>148</v>
      </c>
      <c r="B149" t="s">
        <v>287</v>
      </c>
      <c r="C149" t="s">
        <v>365</v>
      </c>
      <c r="D149">
        <v>1</v>
      </c>
      <c r="E149" t="s">
        <v>37</v>
      </c>
      <c r="F149" s="2">
        <v>45936</v>
      </c>
      <c r="G149" s="20">
        <v>207.55454545454543</v>
      </c>
      <c r="H149" s="20">
        <v>228.31</v>
      </c>
      <c r="I149" s="20">
        <v>232.54</v>
      </c>
      <c r="J149" s="20">
        <f t="shared" si="4"/>
        <v>20.755454545454569</v>
      </c>
      <c r="K149" s="20">
        <f t="shared" si="5"/>
        <v>20.755454545454569</v>
      </c>
    </row>
    <row r="150" spans="1:11" x14ac:dyDescent="0.35">
      <c r="A150">
        <v>149</v>
      </c>
      <c r="B150" t="s">
        <v>288</v>
      </c>
      <c r="C150" t="s">
        <v>1077</v>
      </c>
      <c r="D150">
        <v>1</v>
      </c>
      <c r="E150" t="s">
        <v>37</v>
      </c>
      <c r="F150" s="2">
        <v>45936</v>
      </c>
      <c r="G150" s="20">
        <v>111.86363636363635</v>
      </c>
      <c r="H150" s="20">
        <v>123.05</v>
      </c>
      <c r="I150" s="20">
        <v>140.84</v>
      </c>
      <c r="J150" s="20">
        <f t="shared" si="4"/>
        <v>11.186363636363652</v>
      </c>
      <c r="K150" s="20">
        <f t="shared" si="5"/>
        <v>11.186363636363652</v>
      </c>
    </row>
    <row r="151" spans="1:11" x14ac:dyDescent="0.35">
      <c r="A151">
        <v>150</v>
      </c>
      <c r="B151" t="s">
        <v>289</v>
      </c>
      <c r="C151" t="s">
        <v>1075</v>
      </c>
      <c r="D151">
        <v>10</v>
      </c>
      <c r="E151" t="s">
        <v>37</v>
      </c>
      <c r="F151" s="2">
        <v>45936</v>
      </c>
      <c r="G151" s="20">
        <v>164.91818181818181</v>
      </c>
      <c r="H151" s="20">
        <v>181.41</v>
      </c>
      <c r="I151" s="20">
        <v>1847.66</v>
      </c>
      <c r="J151" s="20">
        <f t="shared" si="4"/>
        <v>16.491818181818189</v>
      </c>
      <c r="K151" s="20">
        <f t="shared" si="5"/>
        <v>164.91818181818189</v>
      </c>
    </row>
    <row r="152" spans="1:11" x14ac:dyDescent="0.35">
      <c r="A152">
        <v>151</v>
      </c>
      <c r="B152" t="s">
        <v>290</v>
      </c>
      <c r="C152" t="s">
        <v>365</v>
      </c>
      <c r="D152">
        <v>10</v>
      </c>
      <c r="E152" t="s">
        <v>37</v>
      </c>
      <c r="F152" s="2">
        <v>45936</v>
      </c>
      <c r="G152" s="20">
        <v>96.75454545454545</v>
      </c>
      <c r="H152" s="20">
        <v>106.43</v>
      </c>
      <c r="I152" s="20">
        <v>1083.93</v>
      </c>
      <c r="J152" s="20">
        <f t="shared" si="4"/>
        <v>9.6754545454545564</v>
      </c>
      <c r="K152" s="20">
        <f t="shared" si="5"/>
        <v>96.754545454545564</v>
      </c>
    </row>
    <row r="153" spans="1:11" x14ac:dyDescent="0.35">
      <c r="A153">
        <v>152</v>
      </c>
      <c r="B153" t="s">
        <v>301</v>
      </c>
      <c r="C153" t="s">
        <v>367</v>
      </c>
      <c r="D153">
        <v>3</v>
      </c>
      <c r="E153" t="s">
        <v>95</v>
      </c>
      <c r="F153" s="2">
        <v>45937</v>
      </c>
      <c r="G153" s="20">
        <v>17.618181818181817</v>
      </c>
      <c r="H153" s="20">
        <v>19.38</v>
      </c>
      <c r="I153" s="20">
        <v>59.22</v>
      </c>
      <c r="J153" s="20">
        <f t="shared" si="4"/>
        <v>1.7618181818181817</v>
      </c>
      <c r="K153" s="20">
        <f t="shared" si="5"/>
        <v>5.2854545454545452</v>
      </c>
    </row>
    <row r="154" spans="1:11" x14ac:dyDescent="0.35">
      <c r="A154">
        <v>153</v>
      </c>
      <c r="B154" t="s">
        <v>266</v>
      </c>
      <c r="C154" t="s">
        <v>368</v>
      </c>
      <c r="D154">
        <v>25</v>
      </c>
      <c r="E154" t="s">
        <v>95</v>
      </c>
      <c r="F154" s="2">
        <v>45937</v>
      </c>
      <c r="G154" s="20">
        <v>32.418181818181814</v>
      </c>
      <c r="H154" s="20">
        <v>35.659999999999997</v>
      </c>
      <c r="I154" s="20">
        <v>936.05</v>
      </c>
      <c r="J154" s="20">
        <f t="shared" si="4"/>
        <v>3.2418181818181822</v>
      </c>
      <c r="K154" s="20">
        <f t="shared" si="5"/>
        <v>81.045454545454561</v>
      </c>
    </row>
    <row r="155" spans="1:11" x14ac:dyDescent="0.35">
      <c r="A155">
        <v>154</v>
      </c>
      <c r="B155" t="s">
        <v>303</v>
      </c>
      <c r="C155" t="s">
        <v>360</v>
      </c>
      <c r="D155">
        <v>2</v>
      </c>
      <c r="E155" t="s">
        <v>95</v>
      </c>
      <c r="F155" s="2">
        <v>45937</v>
      </c>
      <c r="G155" s="20">
        <v>103.89999999999999</v>
      </c>
      <c r="H155" s="20">
        <v>114.29</v>
      </c>
      <c r="I155" s="20">
        <v>232.8</v>
      </c>
      <c r="J155" s="20">
        <f t="shared" si="4"/>
        <v>10.390000000000015</v>
      </c>
      <c r="K155" s="20">
        <f t="shared" si="5"/>
        <v>20.78000000000003</v>
      </c>
    </row>
    <row r="156" spans="1:11" x14ac:dyDescent="0.35">
      <c r="A156">
        <v>155</v>
      </c>
      <c r="B156" t="s">
        <v>305</v>
      </c>
      <c r="C156" t="s">
        <v>1076</v>
      </c>
      <c r="D156">
        <v>2</v>
      </c>
      <c r="E156" t="s">
        <v>95</v>
      </c>
      <c r="F156" s="2">
        <v>45937</v>
      </c>
      <c r="G156" s="20">
        <v>373.99999999999994</v>
      </c>
      <c r="H156" s="20">
        <v>411.4</v>
      </c>
      <c r="I156" s="20">
        <v>838.02</v>
      </c>
      <c r="J156" s="20">
        <f t="shared" si="4"/>
        <v>37.400000000000034</v>
      </c>
      <c r="K156" s="20">
        <f t="shared" si="5"/>
        <v>74.800000000000068</v>
      </c>
    </row>
    <row r="157" spans="1:11" x14ac:dyDescent="0.35">
      <c r="A157">
        <v>156</v>
      </c>
      <c r="B157" t="s">
        <v>306</v>
      </c>
      <c r="C157" t="s">
        <v>1076</v>
      </c>
      <c r="D157">
        <v>1</v>
      </c>
      <c r="E157" t="s">
        <v>95</v>
      </c>
      <c r="F157" s="2">
        <v>45937</v>
      </c>
      <c r="G157" s="20">
        <v>135.39090909090908</v>
      </c>
      <c r="H157" s="20">
        <v>148.93</v>
      </c>
      <c r="I157" s="20">
        <v>151.68</v>
      </c>
      <c r="J157" s="20">
        <f t="shared" si="4"/>
        <v>13.53909090909093</v>
      </c>
      <c r="K157" s="20">
        <f t="shared" si="5"/>
        <v>13.53909090909093</v>
      </c>
    </row>
    <row r="158" spans="1:11" x14ac:dyDescent="0.35">
      <c r="A158">
        <v>157</v>
      </c>
      <c r="B158" t="s">
        <v>286</v>
      </c>
      <c r="C158" t="s">
        <v>1076</v>
      </c>
      <c r="D158">
        <v>2</v>
      </c>
      <c r="E158" t="s">
        <v>95</v>
      </c>
      <c r="F158" s="2">
        <v>45937</v>
      </c>
      <c r="G158" s="20">
        <v>268.10909090909092</v>
      </c>
      <c r="H158" s="20">
        <v>294.92</v>
      </c>
      <c r="I158" s="20">
        <v>600.74</v>
      </c>
      <c r="J158" s="20">
        <f t="shared" si="4"/>
        <v>26.810909090909092</v>
      </c>
      <c r="K158" s="20">
        <f t="shared" si="5"/>
        <v>53.621818181818185</v>
      </c>
    </row>
    <row r="159" spans="1:11" x14ac:dyDescent="0.35">
      <c r="A159">
        <v>158</v>
      </c>
      <c r="B159" t="s">
        <v>307</v>
      </c>
      <c r="C159" t="s">
        <v>365</v>
      </c>
      <c r="D159">
        <v>15</v>
      </c>
      <c r="E159" t="s">
        <v>95</v>
      </c>
      <c r="F159" s="2">
        <v>45937</v>
      </c>
      <c r="G159" s="20">
        <v>21.036363636363635</v>
      </c>
      <c r="H159" s="20">
        <v>23.14</v>
      </c>
      <c r="I159" s="20">
        <v>353.53</v>
      </c>
      <c r="J159" s="20">
        <f t="shared" si="4"/>
        <v>2.1036363636363653</v>
      </c>
      <c r="K159" s="20">
        <f t="shared" si="5"/>
        <v>31.55454545454548</v>
      </c>
    </row>
    <row r="160" spans="1:11" x14ac:dyDescent="0.35">
      <c r="A160">
        <v>159</v>
      </c>
      <c r="B160" t="s">
        <v>308</v>
      </c>
      <c r="C160" t="s">
        <v>364</v>
      </c>
      <c r="D160">
        <v>3</v>
      </c>
      <c r="E160" t="s">
        <v>95</v>
      </c>
      <c r="F160" s="2">
        <v>45937</v>
      </c>
      <c r="G160" s="20">
        <v>172.08181818181816</v>
      </c>
      <c r="H160" s="20">
        <v>189.29</v>
      </c>
      <c r="I160" s="20">
        <v>578.37</v>
      </c>
      <c r="J160" s="20">
        <f t="shared" si="4"/>
        <v>17.208181818181828</v>
      </c>
      <c r="K160" s="20">
        <f t="shared" si="5"/>
        <v>51.624545454545483</v>
      </c>
    </row>
    <row r="161" spans="1:13" x14ac:dyDescent="0.35">
      <c r="A161">
        <v>160</v>
      </c>
      <c r="B161" t="s">
        <v>309</v>
      </c>
      <c r="C161" t="s">
        <v>366</v>
      </c>
      <c r="D161">
        <v>7</v>
      </c>
      <c r="E161" t="s">
        <v>95</v>
      </c>
      <c r="F161" s="2">
        <v>45937</v>
      </c>
      <c r="G161" s="20">
        <v>100.32727272727271</v>
      </c>
      <c r="H161" s="20">
        <v>110.36</v>
      </c>
      <c r="I161" s="20">
        <v>736.23</v>
      </c>
      <c r="J161" s="20">
        <f t="shared" si="4"/>
        <v>10.032727272727286</v>
      </c>
      <c r="K161" s="20">
        <f t="shared" si="5"/>
        <v>70.229090909090999</v>
      </c>
    </row>
    <row r="162" spans="1:13" x14ac:dyDescent="0.35">
      <c r="A162">
        <v>161</v>
      </c>
      <c r="B162" t="s">
        <v>314</v>
      </c>
      <c r="C162" t="s">
        <v>1077</v>
      </c>
      <c r="D162">
        <v>2</v>
      </c>
      <c r="E162" t="s">
        <v>131</v>
      </c>
      <c r="F162" s="2">
        <v>45937</v>
      </c>
      <c r="G162" s="20">
        <v>88.963636363636354</v>
      </c>
      <c r="H162" s="20">
        <v>97.86</v>
      </c>
      <c r="I162" s="20">
        <v>199.35</v>
      </c>
      <c r="J162" s="20">
        <f t="shared" si="4"/>
        <v>8.8963636363636454</v>
      </c>
      <c r="K162" s="20">
        <f t="shared" si="5"/>
        <v>17.792727272727291</v>
      </c>
    </row>
    <row r="163" spans="1:13" x14ac:dyDescent="0.35">
      <c r="A163">
        <v>162</v>
      </c>
      <c r="B163" t="s">
        <v>316</v>
      </c>
      <c r="C163" t="s">
        <v>361</v>
      </c>
      <c r="D163">
        <v>1</v>
      </c>
      <c r="E163" t="s">
        <v>131</v>
      </c>
      <c r="F163" s="2">
        <v>45937</v>
      </c>
      <c r="G163" s="20">
        <v>166.36363636363635</v>
      </c>
      <c r="H163" s="20">
        <v>183</v>
      </c>
      <c r="I163" s="20">
        <v>192.16</v>
      </c>
      <c r="J163" s="20">
        <f t="shared" si="4"/>
        <v>16.636363636363654</v>
      </c>
      <c r="K163" s="20">
        <f t="shared" si="5"/>
        <v>16.636363636363654</v>
      </c>
    </row>
    <row r="164" spans="1:13" x14ac:dyDescent="0.35">
      <c r="A164">
        <v>163</v>
      </c>
      <c r="B164" t="s">
        <v>263</v>
      </c>
      <c r="C164" t="s">
        <v>361</v>
      </c>
      <c r="D164">
        <v>1</v>
      </c>
      <c r="E164" t="s">
        <v>131</v>
      </c>
      <c r="F164" s="2">
        <v>45937</v>
      </c>
      <c r="G164" s="20">
        <v>448.0545454545454</v>
      </c>
      <c r="H164" s="20">
        <v>492.86</v>
      </c>
      <c r="I164" s="20">
        <v>501.97</v>
      </c>
      <c r="J164" s="20">
        <f t="shared" si="4"/>
        <v>44.805454545454609</v>
      </c>
      <c r="K164" s="20">
        <f t="shared" si="5"/>
        <v>44.805454545454609</v>
      </c>
    </row>
    <row r="165" spans="1:13" x14ac:dyDescent="0.35">
      <c r="A165">
        <v>164</v>
      </c>
      <c r="B165" t="s">
        <v>317</v>
      </c>
      <c r="C165" t="s">
        <v>366</v>
      </c>
      <c r="D165">
        <v>10</v>
      </c>
      <c r="E165" t="s">
        <v>131</v>
      </c>
      <c r="F165" s="2">
        <v>45937</v>
      </c>
      <c r="G165" s="20">
        <v>47.499999999999993</v>
      </c>
      <c r="H165" s="20">
        <v>52.25</v>
      </c>
      <c r="I165" s="20">
        <v>548.62</v>
      </c>
      <c r="J165" s="20">
        <f t="shared" si="4"/>
        <v>4.7500000000000071</v>
      </c>
      <c r="K165" s="20">
        <f t="shared" si="5"/>
        <v>47.500000000000071</v>
      </c>
    </row>
    <row r="166" spans="1:13" x14ac:dyDescent="0.35">
      <c r="A166">
        <v>165</v>
      </c>
      <c r="B166" t="s">
        <v>321</v>
      </c>
      <c r="C166" t="s">
        <v>1077</v>
      </c>
      <c r="D166">
        <v>2</v>
      </c>
      <c r="E166" t="s">
        <v>134</v>
      </c>
      <c r="F166" s="2">
        <v>45938</v>
      </c>
      <c r="G166" s="20">
        <v>321.42727272727268</v>
      </c>
      <c r="H166" s="20">
        <v>353.57</v>
      </c>
      <c r="I166" s="20">
        <v>720.23</v>
      </c>
      <c r="J166" s="20">
        <f t="shared" si="4"/>
        <v>32.142727272727313</v>
      </c>
      <c r="K166" s="20">
        <f t="shared" si="5"/>
        <v>64.285454545454627</v>
      </c>
    </row>
    <row r="167" spans="1:13" x14ac:dyDescent="0.35">
      <c r="A167">
        <v>166</v>
      </c>
      <c r="B167" t="s">
        <v>305</v>
      </c>
      <c r="C167" t="s">
        <v>1076</v>
      </c>
      <c r="D167">
        <v>2</v>
      </c>
      <c r="E167" t="s">
        <v>134</v>
      </c>
      <c r="F167" s="2">
        <v>45938</v>
      </c>
      <c r="G167" s="20">
        <v>373.99999999999994</v>
      </c>
      <c r="H167" s="20">
        <v>411.4</v>
      </c>
      <c r="I167" s="20">
        <v>838.02</v>
      </c>
      <c r="J167" s="20">
        <f t="shared" si="4"/>
        <v>37.400000000000034</v>
      </c>
      <c r="K167" s="20">
        <f t="shared" si="5"/>
        <v>74.800000000000068</v>
      </c>
    </row>
    <row r="168" spans="1:13" x14ac:dyDescent="0.35">
      <c r="A168">
        <v>167</v>
      </c>
      <c r="B168" t="s">
        <v>322</v>
      </c>
      <c r="C168" t="s">
        <v>1076</v>
      </c>
      <c r="D168">
        <v>2</v>
      </c>
      <c r="E168" t="s">
        <v>134</v>
      </c>
      <c r="F168" s="2">
        <v>45938</v>
      </c>
      <c r="G168" s="20">
        <v>407.31818181818181</v>
      </c>
      <c r="H168" s="20">
        <v>448.05</v>
      </c>
      <c r="I168" s="20">
        <v>912.68</v>
      </c>
      <c r="J168" s="20">
        <f t="shared" si="4"/>
        <v>40.731818181818198</v>
      </c>
      <c r="K168" s="20">
        <f t="shared" si="5"/>
        <v>81.463636363636397</v>
      </c>
    </row>
    <row r="169" spans="1:13" x14ac:dyDescent="0.35">
      <c r="A169">
        <v>168</v>
      </c>
      <c r="B169" t="s">
        <v>325</v>
      </c>
      <c r="C169" t="s">
        <v>364</v>
      </c>
      <c r="D169">
        <v>3</v>
      </c>
      <c r="E169" t="s">
        <v>37</v>
      </c>
      <c r="F169" s="2">
        <v>45938</v>
      </c>
      <c r="G169" s="20">
        <v>63.218181818181819</v>
      </c>
      <c r="H169" s="20">
        <v>69.540000000000006</v>
      </c>
      <c r="I169" s="20">
        <v>212.48</v>
      </c>
      <c r="J169" s="20">
        <f t="shared" si="4"/>
        <v>6.3218181818181876</v>
      </c>
      <c r="K169" s="20">
        <f t="shared" si="5"/>
        <v>18.965454545454563</v>
      </c>
    </row>
    <row r="170" spans="1:13" x14ac:dyDescent="0.35">
      <c r="A170">
        <v>169</v>
      </c>
      <c r="B170" t="s">
        <v>326</v>
      </c>
      <c r="C170" t="s">
        <v>367</v>
      </c>
      <c r="D170">
        <v>5</v>
      </c>
      <c r="E170" t="s">
        <v>37</v>
      </c>
      <c r="F170" s="2">
        <v>45938</v>
      </c>
      <c r="G170" s="20">
        <v>188.30909090909088</v>
      </c>
      <c r="H170" s="20">
        <v>207.14</v>
      </c>
      <c r="I170" s="20">
        <v>1054.8699999999999</v>
      </c>
      <c r="J170" s="20">
        <f t="shared" si="4"/>
        <v>18.830909090909103</v>
      </c>
      <c r="K170" s="20">
        <f t="shared" si="5"/>
        <v>94.154545454545513</v>
      </c>
    </row>
    <row r="171" spans="1:13" x14ac:dyDescent="0.35">
      <c r="A171">
        <v>170</v>
      </c>
      <c r="B171" t="s">
        <v>327</v>
      </c>
      <c r="C171" t="s">
        <v>367</v>
      </c>
      <c r="D171">
        <v>10</v>
      </c>
      <c r="E171" t="s">
        <v>37</v>
      </c>
      <c r="F171" s="2">
        <v>45938</v>
      </c>
      <c r="G171" s="20">
        <v>133.76363636363635</v>
      </c>
      <c r="H171" s="20">
        <v>147.13999999999999</v>
      </c>
      <c r="I171" s="20">
        <v>1498.62</v>
      </c>
      <c r="J171" s="20">
        <f t="shared" si="4"/>
        <v>13.376363636363635</v>
      </c>
      <c r="K171" s="20">
        <f t="shared" si="5"/>
        <v>133.76363636363635</v>
      </c>
    </row>
    <row r="172" spans="1:13" x14ac:dyDescent="0.35">
      <c r="A172">
        <v>171</v>
      </c>
      <c r="B172" t="s">
        <v>328</v>
      </c>
      <c r="C172" t="s">
        <v>369</v>
      </c>
      <c r="D172">
        <v>1</v>
      </c>
      <c r="E172" t="s">
        <v>37</v>
      </c>
      <c r="F172" s="2">
        <v>45938</v>
      </c>
      <c r="G172" s="20">
        <v>162.07272727272726</v>
      </c>
      <c r="H172" s="20">
        <v>178.28</v>
      </c>
      <c r="I172" s="20">
        <v>181.57</v>
      </c>
      <c r="J172" s="20">
        <f t="shared" si="4"/>
        <v>16.207272727272738</v>
      </c>
      <c r="K172" s="20">
        <f t="shared" si="5"/>
        <v>16.207272727272738</v>
      </c>
    </row>
    <row r="173" spans="1:13" x14ac:dyDescent="0.35">
      <c r="A173">
        <v>172</v>
      </c>
      <c r="B173" t="s">
        <v>329</v>
      </c>
      <c r="C173" t="s">
        <v>364</v>
      </c>
      <c r="D173">
        <v>4</v>
      </c>
      <c r="E173" t="s">
        <v>37</v>
      </c>
      <c r="F173" s="2">
        <v>45938</v>
      </c>
      <c r="G173" s="20">
        <v>56</v>
      </c>
      <c r="H173" s="20">
        <v>61.6</v>
      </c>
      <c r="I173" s="20">
        <v>250.97</v>
      </c>
      <c r="J173" s="20">
        <f t="shared" si="4"/>
        <v>5.6000000000000014</v>
      </c>
      <c r="K173" s="20">
        <f t="shared" si="5"/>
        <v>22.400000000000006</v>
      </c>
      <c r="M173"/>
    </row>
    <row r="174" spans="1:13" x14ac:dyDescent="0.35">
      <c r="A174">
        <v>173</v>
      </c>
      <c r="B174" t="s">
        <v>330</v>
      </c>
      <c r="C174" t="s">
        <v>1076</v>
      </c>
      <c r="D174">
        <v>1</v>
      </c>
      <c r="E174" t="s">
        <v>37</v>
      </c>
      <c r="F174" s="2">
        <v>45938</v>
      </c>
      <c r="G174" s="20">
        <v>69.181818181818173</v>
      </c>
      <c r="H174" s="20">
        <v>76.099999999999994</v>
      </c>
      <c r="I174" s="20">
        <v>77.52</v>
      </c>
      <c r="J174" s="20">
        <f t="shared" si="4"/>
        <v>6.9181818181818215</v>
      </c>
      <c r="K174" s="20">
        <f t="shared" si="5"/>
        <v>6.9181818181818215</v>
      </c>
      <c r="M174"/>
    </row>
    <row r="175" spans="1:13" x14ac:dyDescent="0.35">
      <c r="A175">
        <v>174</v>
      </c>
      <c r="B175" t="s">
        <v>331</v>
      </c>
      <c r="C175" t="s">
        <v>367</v>
      </c>
      <c r="D175">
        <v>1</v>
      </c>
      <c r="E175" t="s">
        <v>37</v>
      </c>
      <c r="F175" s="2">
        <v>45938</v>
      </c>
      <c r="G175" s="20">
        <v>97.745454545454535</v>
      </c>
      <c r="H175" s="20">
        <v>107.52</v>
      </c>
      <c r="I175" s="20">
        <v>109.51</v>
      </c>
      <c r="J175" s="20">
        <f t="shared" si="4"/>
        <v>9.7745454545454606</v>
      </c>
      <c r="K175" s="20">
        <f t="shared" si="5"/>
        <v>9.7745454545454606</v>
      </c>
      <c r="M175"/>
    </row>
    <row r="176" spans="1:13" x14ac:dyDescent="0.35">
      <c r="A176">
        <v>175</v>
      </c>
      <c r="B176" t="s">
        <v>332</v>
      </c>
      <c r="C176" t="s">
        <v>365</v>
      </c>
      <c r="D176">
        <v>2</v>
      </c>
      <c r="E176" t="s">
        <v>37</v>
      </c>
      <c r="F176" s="2">
        <v>45938</v>
      </c>
      <c r="G176" s="20">
        <v>75.127272727272725</v>
      </c>
      <c r="H176" s="20">
        <v>82.64</v>
      </c>
      <c r="I176" s="20">
        <v>168.34</v>
      </c>
      <c r="J176" s="20">
        <f t="shared" si="4"/>
        <v>7.5127272727272754</v>
      </c>
      <c r="K176" s="20">
        <f t="shared" si="5"/>
        <v>15.025454545454551</v>
      </c>
      <c r="M176"/>
    </row>
    <row r="177" spans="1:13" x14ac:dyDescent="0.35">
      <c r="A177">
        <v>176</v>
      </c>
      <c r="B177" t="s">
        <v>333</v>
      </c>
      <c r="C177" t="s">
        <v>364</v>
      </c>
      <c r="D177">
        <v>10</v>
      </c>
      <c r="E177" t="s">
        <v>37</v>
      </c>
      <c r="F177" s="2">
        <v>45938</v>
      </c>
      <c r="G177" s="20">
        <v>85.390909090909091</v>
      </c>
      <c r="H177" s="20">
        <v>93.93</v>
      </c>
      <c r="I177" s="20">
        <v>956.68</v>
      </c>
      <c r="J177" s="20">
        <f t="shared" si="4"/>
        <v>8.5390909090909162</v>
      </c>
      <c r="K177" s="20">
        <f t="shared" si="5"/>
        <v>85.390909090909162</v>
      </c>
      <c r="M177"/>
    </row>
    <row r="178" spans="1:13" x14ac:dyDescent="0.35">
      <c r="A178">
        <v>177</v>
      </c>
      <c r="B178" t="s">
        <v>334</v>
      </c>
      <c r="C178" t="s">
        <v>365</v>
      </c>
      <c r="D178">
        <v>6</v>
      </c>
      <c r="E178" t="s">
        <v>37</v>
      </c>
      <c r="F178" s="2">
        <v>45938</v>
      </c>
      <c r="G178" s="20">
        <v>165.48181818181817</v>
      </c>
      <c r="H178" s="20">
        <v>182.03</v>
      </c>
      <c r="I178" s="20">
        <v>1019.69</v>
      </c>
      <c r="J178" s="20">
        <f t="shared" si="4"/>
        <v>16.548181818181831</v>
      </c>
      <c r="K178" s="20">
        <f t="shared" si="5"/>
        <v>99.289090909090987</v>
      </c>
      <c r="M178"/>
    </row>
    <row r="179" spans="1:13" x14ac:dyDescent="0.35">
      <c r="A179">
        <v>178</v>
      </c>
      <c r="B179" t="s">
        <v>335</v>
      </c>
      <c r="C179" t="s">
        <v>364</v>
      </c>
      <c r="D179">
        <v>2</v>
      </c>
      <c r="E179" t="s">
        <v>37</v>
      </c>
      <c r="F179" s="2">
        <v>45938</v>
      </c>
      <c r="G179" s="20">
        <v>241.94545454545451</v>
      </c>
      <c r="H179" s="20">
        <v>266.14</v>
      </c>
      <c r="I179" s="20">
        <v>542.13</v>
      </c>
      <c r="J179" s="20">
        <f t="shared" si="4"/>
        <v>24.194545454545477</v>
      </c>
      <c r="K179" s="20">
        <f t="shared" si="5"/>
        <v>48.389090909090953</v>
      </c>
      <c r="M179"/>
    </row>
    <row r="180" spans="1:13" x14ac:dyDescent="0.35">
      <c r="A180">
        <v>179</v>
      </c>
      <c r="B180" t="s">
        <v>336</v>
      </c>
      <c r="C180" t="s">
        <v>368</v>
      </c>
      <c r="D180">
        <v>5</v>
      </c>
      <c r="E180" t="s">
        <v>37</v>
      </c>
      <c r="F180" s="2">
        <v>45938</v>
      </c>
      <c r="G180" s="20">
        <v>102.96363636363635</v>
      </c>
      <c r="H180" s="20">
        <v>113.26</v>
      </c>
      <c r="I180" s="20">
        <v>576.77</v>
      </c>
      <c r="J180" s="20">
        <f t="shared" si="4"/>
        <v>10.296363636363651</v>
      </c>
      <c r="K180" s="20">
        <f t="shared" si="5"/>
        <v>51.481818181818255</v>
      </c>
      <c r="M180"/>
    </row>
    <row r="181" spans="1:13" x14ac:dyDescent="0.35">
      <c r="A181">
        <v>180</v>
      </c>
      <c r="B181" t="s">
        <v>337</v>
      </c>
      <c r="C181" t="s">
        <v>1075</v>
      </c>
      <c r="D181">
        <v>2</v>
      </c>
      <c r="E181" t="s">
        <v>37</v>
      </c>
      <c r="F181" s="2">
        <v>45938</v>
      </c>
      <c r="G181" s="20">
        <v>136.36363636363635</v>
      </c>
      <c r="H181" s="20">
        <v>150</v>
      </c>
      <c r="I181" s="20">
        <v>305.56</v>
      </c>
      <c r="J181" s="20">
        <f t="shared" si="4"/>
        <v>13.636363636363654</v>
      </c>
      <c r="K181" s="20">
        <f t="shared" si="5"/>
        <v>27.272727272727309</v>
      </c>
      <c r="M181"/>
    </row>
    <row r="182" spans="1:13" x14ac:dyDescent="0.35">
      <c r="A182">
        <v>181</v>
      </c>
      <c r="B182" t="s">
        <v>349</v>
      </c>
      <c r="C182" t="s">
        <v>369</v>
      </c>
      <c r="D182">
        <v>1</v>
      </c>
      <c r="E182" t="s">
        <v>37</v>
      </c>
      <c r="F182" s="2">
        <v>45938</v>
      </c>
      <c r="G182" s="20">
        <v>216.88181818181815</v>
      </c>
      <c r="H182" s="20">
        <v>238.57</v>
      </c>
      <c r="I182" s="20">
        <v>242.99</v>
      </c>
      <c r="J182" s="20">
        <f t="shared" si="4"/>
        <v>21.688181818181846</v>
      </c>
      <c r="K182" s="20">
        <f t="shared" si="5"/>
        <v>21.688181818181846</v>
      </c>
      <c r="M182"/>
    </row>
    <row r="183" spans="1:13" x14ac:dyDescent="0.35">
      <c r="A183">
        <v>182</v>
      </c>
      <c r="B183" t="s">
        <v>351</v>
      </c>
      <c r="C183" t="s">
        <v>1077</v>
      </c>
      <c r="D183">
        <v>3</v>
      </c>
      <c r="E183" t="s">
        <v>95</v>
      </c>
      <c r="F183" s="2">
        <v>45938</v>
      </c>
      <c r="G183" s="20">
        <v>357.79090909090905</v>
      </c>
      <c r="H183" s="20">
        <v>393.57</v>
      </c>
      <c r="I183" s="20">
        <v>1202.55</v>
      </c>
      <c r="J183" s="20">
        <f t="shared" si="4"/>
        <v>35.779090909090939</v>
      </c>
      <c r="K183" s="20">
        <f t="shared" si="5"/>
        <v>107.33727272727282</v>
      </c>
      <c r="M183"/>
    </row>
    <row r="184" spans="1:13" x14ac:dyDescent="0.35">
      <c r="A184">
        <v>183</v>
      </c>
      <c r="B184" t="s">
        <v>353</v>
      </c>
      <c r="C184" t="s">
        <v>1076</v>
      </c>
      <c r="D184">
        <v>1</v>
      </c>
      <c r="E184" t="s">
        <v>95</v>
      </c>
      <c r="F184" s="2">
        <v>45938</v>
      </c>
      <c r="G184" s="20">
        <v>92.527272727272717</v>
      </c>
      <c r="H184" s="20">
        <v>101.78</v>
      </c>
      <c r="I184" s="20">
        <v>103.67</v>
      </c>
      <c r="J184" s="20">
        <f t="shared" si="4"/>
        <v>9.2527272727272845</v>
      </c>
      <c r="K184" s="20">
        <f t="shared" si="5"/>
        <v>9.2527272727272845</v>
      </c>
      <c r="M184"/>
    </row>
    <row r="185" spans="1:13" x14ac:dyDescent="0.35">
      <c r="A185">
        <v>184</v>
      </c>
      <c r="B185" t="s">
        <v>249</v>
      </c>
      <c r="C185" t="s">
        <v>1077</v>
      </c>
      <c r="D185">
        <v>10</v>
      </c>
      <c r="E185" t="s">
        <v>95</v>
      </c>
      <c r="F185" s="2">
        <v>45938</v>
      </c>
      <c r="G185" s="20">
        <v>74.354545454545459</v>
      </c>
      <c r="H185" s="20">
        <v>81.790000000000006</v>
      </c>
      <c r="I185" s="20">
        <v>833.02</v>
      </c>
      <c r="J185" s="20">
        <f t="shared" si="4"/>
        <v>7.4354545454545473</v>
      </c>
      <c r="K185" s="20">
        <f t="shared" si="5"/>
        <v>74.354545454545473</v>
      </c>
      <c r="M185"/>
    </row>
    <row r="186" spans="1:13" x14ac:dyDescent="0.35">
      <c r="A186">
        <v>185</v>
      </c>
      <c r="B186" t="s">
        <v>354</v>
      </c>
      <c r="C186" t="s">
        <v>1077</v>
      </c>
      <c r="D186">
        <v>1</v>
      </c>
      <c r="E186" t="s">
        <v>95</v>
      </c>
      <c r="F186" s="2">
        <v>45938</v>
      </c>
      <c r="G186" s="20">
        <v>216.88181818181815</v>
      </c>
      <c r="H186" s="20">
        <v>238.57</v>
      </c>
      <c r="I186" s="20">
        <v>242.99</v>
      </c>
      <c r="J186" s="20">
        <f t="shared" si="4"/>
        <v>21.688181818181846</v>
      </c>
      <c r="K186" s="20">
        <f t="shared" si="5"/>
        <v>21.688181818181846</v>
      </c>
      <c r="M186"/>
    </row>
    <row r="187" spans="1:13" x14ac:dyDescent="0.35">
      <c r="A187">
        <v>186</v>
      </c>
      <c r="B187" t="s">
        <v>355</v>
      </c>
      <c r="C187" t="s">
        <v>367</v>
      </c>
      <c r="D187">
        <v>2</v>
      </c>
      <c r="E187" t="s">
        <v>95</v>
      </c>
      <c r="F187" s="2">
        <v>45938</v>
      </c>
      <c r="G187" s="20">
        <v>89.23636363636362</v>
      </c>
      <c r="H187" s="20">
        <v>98.16</v>
      </c>
      <c r="I187" s="20">
        <v>199.95</v>
      </c>
      <c r="J187" s="20">
        <f t="shared" si="4"/>
        <v>8.9236363636363762</v>
      </c>
      <c r="K187" s="20">
        <f t="shared" si="5"/>
        <v>17.847272727272752</v>
      </c>
      <c r="M187"/>
    </row>
    <row r="188" spans="1:13" x14ac:dyDescent="0.35">
      <c r="A188">
        <v>187</v>
      </c>
      <c r="B188" t="s">
        <v>356</v>
      </c>
      <c r="C188" t="s">
        <v>369</v>
      </c>
      <c r="D188">
        <v>1</v>
      </c>
      <c r="E188" t="s">
        <v>95</v>
      </c>
      <c r="F188" s="2">
        <v>45938</v>
      </c>
      <c r="G188" s="20">
        <v>44.845454545454537</v>
      </c>
      <c r="H188" s="20">
        <v>49.33</v>
      </c>
      <c r="I188" s="20">
        <v>51.79</v>
      </c>
      <c r="J188" s="20">
        <f t="shared" si="4"/>
        <v>4.4845454545454615</v>
      </c>
      <c r="K188" s="20">
        <f t="shared" si="5"/>
        <v>4.4845454545454615</v>
      </c>
      <c r="M188"/>
    </row>
    <row r="189" spans="1:13" x14ac:dyDescent="0.35">
      <c r="A189">
        <v>188</v>
      </c>
      <c r="B189" t="s">
        <v>62</v>
      </c>
      <c r="C189" t="s">
        <v>362</v>
      </c>
      <c r="D189">
        <v>1</v>
      </c>
      <c r="E189" t="s">
        <v>95</v>
      </c>
      <c r="F189" s="2">
        <v>45938</v>
      </c>
      <c r="G189" s="20">
        <v>633.58181818181822</v>
      </c>
      <c r="H189" s="20">
        <v>696.94</v>
      </c>
      <c r="I189" s="20">
        <v>709.83</v>
      </c>
      <c r="J189" s="20">
        <f t="shared" si="4"/>
        <v>63.358181818181833</v>
      </c>
      <c r="K189" s="20">
        <f t="shared" si="5"/>
        <v>63.358181818181833</v>
      </c>
      <c r="M189"/>
    </row>
    <row r="190" spans="1:13" x14ac:dyDescent="0.35">
      <c r="A190">
        <v>189</v>
      </c>
      <c r="B190" t="s">
        <v>357</v>
      </c>
      <c r="C190" t="s">
        <v>361</v>
      </c>
      <c r="D190">
        <v>2</v>
      </c>
      <c r="E190" t="s">
        <v>95</v>
      </c>
      <c r="F190" s="2">
        <v>45938</v>
      </c>
      <c r="G190" s="20">
        <v>292.75454545454539</v>
      </c>
      <c r="H190" s="20">
        <v>322.02999999999997</v>
      </c>
      <c r="I190" s="20">
        <v>737.2</v>
      </c>
      <c r="J190" s="20">
        <f t="shared" si="4"/>
        <v>29.275454545454579</v>
      </c>
      <c r="K190" s="20">
        <f t="shared" si="5"/>
        <v>58.550909090909158</v>
      </c>
      <c r="M190"/>
    </row>
    <row r="191" spans="1:13" x14ac:dyDescent="0.35">
      <c r="A191">
        <v>190</v>
      </c>
      <c r="B191" t="s">
        <v>358</v>
      </c>
      <c r="C191" t="s">
        <v>367</v>
      </c>
      <c r="D191">
        <v>2</v>
      </c>
      <c r="E191" t="s">
        <v>95</v>
      </c>
      <c r="F191" s="2">
        <v>45938</v>
      </c>
      <c r="G191" s="20">
        <v>118.18181818181817</v>
      </c>
      <c r="H191" s="20">
        <v>130</v>
      </c>
      <c r="I191" s="20">
        <v>264.82</v>
      </c>
      <c r="J191" s="20">
        <f t="shared" si="4"/>
        <v>11.818181818181827</v>
      </c>
      <c r="K191" s="20">
        <f t="shared" si="5"/>
        <v>23.636363636363654</v>
      </c>
      <c r="M191"/>
    </row>
    <row r="192" spans="1:13" x14ac:dyDescent="0.35">
      <c r="A192">
        <v>191</v>
      </c>
      <c r="B192" t="s">
        <v>242</v>
      </c>
      <c r="C192" t="s">
        <v>1076</v>
      </c>
      <c r="D192">
        <v>2</v>
      </c>
      <c r="E192" t="s">
        <v>95</v>
      </c>
      <c r="F192" s="2">
        <v>45938</v>
      </c>
      <c r="G192" s="20">
        <v>457.85454545454542</v>
      </c>
      <c r="H192" s="20">
        <v>503.64</v>
      </c>
      <c r="I192" s="20">
        <v>1025.92</v>
      </c>
      <c r="J192" s="20">
        <f t="shared" si="4"/>
        <v>45.78545454545457</v>
      </c>
      <c r="K192" s="20">
        <f t="shared" si="5"/>
        <v>91.57090909090914</v>
      </c>
      <c r="M192"/>
    </row>
    <row r="193" spans="1:13" x14ac:dyDescent="0.35">
      <c r="A193">
        <v>192</v>
      </c>
      <c r="B193" t="s">
        <v>356</v>
      </c>
      <c r="C193" t="s">
        <v>369</v>
      </c>
      <c r="D193">
        <v>2</v>
      </c>
      <c r="E193" t="s">
        <v>95</v>
      </c>
      <c r="F193" s="2">
        <v>45938</v>
      </c>
      <c r="G193" s="20">
        <v>103.49090909090908</v>
      </c>
      <c r="H193" s="20">
        <v>113.84</v>
      </c>
      <c r="I193" s="20">
        <v>239.06</v>
      </c>
      <c r="J193" s="20">
        <f t="shared" si="4"/>
        <v>10.349090909090918</v>
      </c>
      <c r="K193" s="20">
        <f t="shared" si="5"/>
        <v>20.698181818181837</v>
      </c>
      <c r="M193"/>
    </row>
    <row r="194" spans="1:13" x14ac:dyDescent="0.35">
      <c r="A194">
        <v>193</v>
      </c>
      <c r="B194" t="s">
        <v>239</v>
      </c>
      <c r="C194" t="s">
        <v>1076</v>
      </c>
      <c r="D194">
        <v>4</v>
      </c>
      <c r="E194" t="s">
        <v>95</v>
      </c>
      <c r="F194" s="2">
        <v>45938</v>
      </c>
      <c r="G194" s="20">
        <v>182.46363636363637</v>
      </c>
      <c r="H194" s="20">
        <v>200.71</v>
      </c>
      <c r="I194" s="20">
        <v>817.69</v>
      </c>
      <c r="J194" s="20">
        <f t="shared" ref="J194:J257" si="6">H194-G194</f>
        <v>18.24636363636364</v>
      </c>
      <c r="K194" s="20">
        <f t="shared" ref="K194:K257" si="7">J194*D194</f>
        <v>72.985454545454559</v>
      </c>
      <c r="M194"/>
    </row>
    <row r="195" spans="1:13" x14ac:dyDescent="0.35">
      <c r="A195">
        <v>194</v>
      </c>
      <c r="B195" t="s">
        <v>244</v>
      </c>
      <c r="C195" t="s">
        <v>1076</v>
      </c>
      <c r="D195">
        <v>5</v>
      </c>
      <c r="E195" t="s">
        <v>95</v>
      </c>
      <c r="F195" s="2">
        <v>45938</v>
      </c>
      <c r="G195" s="20">
        <v>86.75454545454545</v>
      </c>
      <c r="H195" s="20">
        <v>95.43</v>
      </c>
      <c r="I195" s="20">
        <v>485.98</v>
      </c>
      <c r="J195" s="20">
        <f t="shared" si="6"/>
        <v>8.6754545454545564</v>
      </c>
      <c r="K195" s="20">
        <f t="shared" si="7"/>
        <v>43.377272727272782</v>
      </c>
      <c r="M195"/>
    </row>
    <row r="196" spans="1:13" x14ac:dyDescent="0.35">
      <c r="A196">
        <v>195</v>
      </c>
      <c r="B196" t="s">
        <v>285</v>
      </c>
      <c r="C196" t="s">
        <v>1076</v>
      </c>
      <c r="D196">
        <v>1</v>
      </c>
      <c r="E196" t="s">
        <v>95</v>
      </c>
      <c r="F196" s="2">
        <v>45938</v>
      </c>
      <c r="G196" s="20">
        <v>65.454545454545453</v>
      </c>
      <c r="H196" s="20">
        <v>72</v>
      </c>
      <c r="I196" s="20">
        <v>485.98</v>
      </c>
      <c r="J196" s="20">
        <f t="shared" si="6"/>
        <v>6.5454545454545467</v>
      </c>
      <c r="K196" s="20">
        <f t="shared" si="7"/>
        <v>6.5454545454545467</v>
      </c>
      <c r="M196"/>
    </row>
    <row r="197" spans="1:13" x14ac:dyDescent="0.35">
      <c r="A197">
        <v>196</v>
      </c>
      <c r="B197" t="s">
        <v>378</v>
      </c>
      <c r="C197" t="s">
        <v>1076</v>
      </c>
      <c r="D197">
        <v>2</v>
      </c>
      <c r="E197" t="s">
        <v>95</v>
      </c>
      <c r="F197" s="2">
        <v>45938</v>
      </c>
      <c r="G197" s="20">
        <v>71.427272727272722</v>
      </c>
      <c r="H197" s="20">
        <v>78.569999999999993</v>
      </c>
      <c r="I197" s="20">
        <v>160.05000000000001</v>
      </c>
      <c r="J197" s="20">
        <f t="shared" si="6"/>
        <v>7.1427272727272708</v>
      </c>
      <c r="K197" s="20">
        <f t="shared" si="7"/>
        <v>14.285454545454542</v>
      </c>
      <c r="M197"/>
    </row>
    <row r="198" spans="1:13" x14ac:dyDescent="0.35">
      <c r="A198">
        <v>197</v>
      </c>
      <c r="B198" t="s">
        <v>379</v>
      </c>
      <c r="C198" t="s">
        <v>365</v>
      </c>
      <c r="D198">
        <v>10</v>
      </c>
      <c r="E198" t="s">
        <v>95</v>
      </c>
      <c r="F198" s="2">
        <v>45938</v>
      </c>
      <c r="G198" s="20">
        <v>28.518181818181816</v>
      </c>
      <c r="H198" s="20">
        <v>31.37</v>
      </c>
      <c r="I198" s="20">
        <v>319.51</v>
      </c>
      <c r="J198" s="20">
        <f t="shared" si="6"/>
        <v>2.8518181818181851</v>
      </c>
      <c r="K198" s="20">
        <f t="shared" si="7"/>
        <v>28.518181818181851</v>
      </c>
      <c r="M198"/>
    </row>
    <row r="199" spans="1:13" x14ac:dyDescent="0.35">
      <c r="A199">
        <v>198</v>
      </c>
      <c r="B199" t="s">
        <v>380</v>
      </c>
      <c r="C199" t="s">
        <v>1076</v>
      </c>
      <c r="D199">
        <v>10</v>
      </c>
      <c r="E199" t="s">
        <v>95</v>
      </c>
      <c r="F199" s="2">
        <v>45938</v>
      </c>
      <c r="G199" s="20">
        <v>153.24545454545452</v>
      </c>
      <c r="H199" s="20">
        <v>168.57</v>
      </c>
      <c r="I199" s="20">
        <v>1716.89</v>
      </c>
      <c r="J199" s="20">
        <f t="shared" si="6"/>
        <v>15.324545454545472</v>
      </c>
      <c r="K199" s="20">
        <f t="shared" si="7"/>
        <v>153.24545454545472</v>
      </c>
      <c r="M199"/>
    </row>
    <row r="200" spans="1:13" x14ac:dyDescent="0.35">
      <c r="A200">
        <v>199</v>
      </c>
      <c r="B200" t="s">
        <v>381</v>
      </c>
      <c r="C200" t="s">
        <v>369</v>
      </c>
      <c r="D200">
        <v>1</v>
      </c>
      <c r="E200" t="s">
        <v>95</v>
      </c>
      <c r="F200" s="2">
        <v>45938</v>
      </c>
      <c r="G200" s="20">
        <v>74.836363636363629</v>
      </c>
      <c r="H200" s="20">
        <v>82.32</v>
      </c>
      <c r="I200" s="20">
        <v>84.71</v>
      </c>
      <c r="J200" s="20">
        <f t="shared" si="6"/>
        <v>7.4836363636363643</v>
      </c>
      <c r="K200" s="20">
        <f t="shared" si="7"/>
        <v>7.4836363636363643</v>
      </c>
      <c r="M200"/>
    </row>
    <row r="201" spans="1:13" x14ac:dyDescent="0.35">
      <c r="A201">
        <v>200</v>
      </c>
      <c r="B201" t="s">
        <v>382</v>
      </c>
      <c r="C201" t="s">
        <v>1075</v>
      </c>
      <c r="D201">
        <v>5</v>
      </c>
      <c r="E201" t="s">
        <v>95</v>
      </c>
      <c r="F201" s="2">
        <v>45938</v>
      </c>
      <c r="G201" s="20">
        <v>164.97272727272727</v>
      </c>
      <c r="H201" s="20">
        <v>181.47</v>
      </c>
      <c r="I201" s="20">
        <v>924.13</v>
      </c>
      <c r="J201" s="20">
        <f t="shared" si="6"/>
        <v>16.49727272727273</v>
      </c>
      <c r="K201" s="20">
        <f t="shared" si="7"/>
        <v>82.486363636363649</v>
      </c>
      <c r="M201"/>
    </row>
    <row r="202" spans="1:13" x14ac:dyDescent="0.35">
      <c r="A202">
        <v>201</v>
      </c>
      <c r="B202" t="s">
        <v>383</v>
      </c>
      <c r="C202" t="s">
        <v>1077</v>
      </c>
      <c r="D202">
        <v>1</v>
      </c>
      <c r="E202" t="s">
        <v>95</v>
      </c>
      <c r="F202" s="2">
        <v>45938</v>
      </c>
      <c r="G202" s="20">
        <v>113.63636363636363</v>
      </c>
      <c r="H202" s="20">
        <v>125</v>
      </c>
      <c r="I202" s="20">
        <v>127.31</v>
      </c>
      <c r="J202" s="20">
        <f t="shared" si="6"/>
        <v>11.363636363636374</v>
      </c>
      <c r="K202" s="20">
        <f t="shared" si="7"/>
        <v>11.363636363636374</v>
      </c>
      <c r="M202"/>
    </row>
    <row r="203" spans="1:13" x14ac:dyDescent="0.35">
      <c r="A203">
        <v>202</v>
      </c>
      <c r="B203" t="s">
        <v>384</v>
      </c>
      <c r="C203" t="s">
        <v>361</v>
      </c>
      <c r="D203">
        <v>1</v>
      </c>
      <c r="E203" t="s">
        <v>95</v>
      </c>
      <c r="F203" s="2">
        <v>45938</v>
      </c>
      <c r="G203" s="20">
        <v>36.490909090909085</v>
      </c>
      <c r="H203" s="20">
        <v>40.14</v>
      </c>
      <c r="I203" s="20">
        <v>40.880000000000003</v>
      </c>
      <c r="J203" s="20">
        <f t="shared" si="6"/>
        <v>3.6490909090909156</v>
      </c>
      <c r="K203" s="20">
        <f t="shared" si="7"/>
        <v>3.6490909090909156</v>
      </c>
      <c r="M203"/>
    </row>
    <row r="204" spans="1:13" x14ac:dyDescent="0.35">
      <c r="A204">
        <v>203</v>
      </c>
      <c r="B204" t="s">
        <v>391</v>
      </c>
      <c r="C204" t="s">
        <v>361</v>
      </c>
      <c r="D204">
        <v>2</v>
      </c>
      <c r="E204" t="s">
        <v>131</v>
      </c>
      <c r="F204" s="2">
        <v>45939</v>
      </c>
      <c r="G204" s="20">
        <v>132.14545454545456</v>
      </c>
      <c r="H204" s="20">
        <v>145.36000000000001</v>
      </c>
      <c r="I204" s="20">
        <v>296.10000000000002</v>
      </c>
      <c r="J204" s="20">
        <f t="shared" si="6"/>
        <v>13.214545454545458</v>
      </c>
      <c r="K204" s="20">
        <f t="shared" si="7"/>
        <v>26.429090909090917</v>
      </c>
      <c r="M204"/>
    </row>
    <row r="205" spans="1:13" x14ac:dyDescent="0.35">
      <c r="A205">
        <v>204</v>
      </c>
      <c r="B205" t="s">
        <v>392</v>
      </c>
      <c r="C205" t="s">
        <v>361</v>
      </c>
      <c r="D205">
        <v>1</v>
      </c>
      <c r="E205" t="s">
        <v>131</v>
      </c>
      <c r="F205" s="2">
        <v>45939</v>
      </c>
      <c r="G205" s="20">
        <v>794.31818181818176</v>
      </c>
      <c r="H205" s="20">
        <v>873.75</v>
      </c>
      <c r="I205" s="20">
        <v>889.92</v>
      </c>
      <c r="J205" s="20">
        <f t="shared" si="6"/>
        <v>79.431818181818244</v>
      </c>
      <c r="K205" s="20">
        <f t="shared" si="7"/>
        <v>79.431818181818244</v>
      </c>
      <c r="M205"/>
    </row>
    <row r="206" spans="1:13" x14ac:dyDescent="0.35">
      <c r="A206">
        <v>205</v>
      </c>
      <c r="B206" t="s">
        <v>410</v>
      </c>
      <c r="C206" t="s">
        <v>361</v>
      </c>
      <c r="D206">
        <v>1</v>
      </c>
      <c r="E206" t="s">
        <v>131</v>
      </c>
      <c r="F206" s="2">
        <v>45939</v>
      </c>
      <c r="G206" s="20">
        <v>43.636363636363633</v>
      </c>
      <c r="H206" s="20">
        <v>48</v>
      </c>
      <c r="I206" s="20">
        <v>50.4</v>
      </c>
      <c r="J206" s="20">
        <f t="shared" si="6"/>
        <v>4.3636363636363669</v>
      </c>
      <c r="K206" s="20">
        <f t="shared" si="7"/>
        <v>4.3636363636363669</v>
      </c>
      <c r="M206"/>
    </row>
    <row r="207" spans="1:13" x14ac:dyDescent="0.35">
      <c r="A207">
        <v>206</v>
      </c>
      <c r="B207" t="s">
        <v>409</v>
      </c>
      <c r="C207" t="s">
        <v>1076</v>
      </c>
      <c r="D207">
        <v>2</v>
      </c>
      <c r="E207" t="s">
        <v>131</v>
      </c>
      <c r="F207" s="2">
        <v>45939</v>
      </c>
      <c r="G207" s="20">
        <v>111.13636363636363</v>
      </c>
      <c r="H207" s="20">
        <v>122.25</v>
      </c>
      <c r="I207" s="20">
        <v>249.03</v>
      </c>
      <c r="J207" s="20">
        <f t="shared" si="6"/>
        <v>11.113636363636374</v>
      </c>
      <c r="K207" s="20">
        <f t="shared" si="7"/>
        <v>22.227272727272748</v>
      </c>
      <c r="M207"/>
    </row>
    <row r="208" spans="1:13" x14ac:dyDescent="0.35">
      <c r="A208">
        <v>207</v>
      </c>
      <c r="B208" t="s">
        <v>393</v>
      </c>
      <c r="C208" t="s">
        <v>1076</v>
      </c>
      <c r="D208">
        <v>1</v>
      </c>
      <c r="E208" t="s">
        <v>131</v>
      </c>
      <c r="F208" s="2">
        <v>45939</v>
      </c>
      <c r="G208" s="20">
        <v>54.54545454545454</v>
      </c>
      <c r="H208" s="20">
        <v>60</v>
      </c>
      <c r="I208" s="20">
        <v>63</v>
      </c>
      <c r="J208" s="20">
        <f t="shared" si="6"/>
        <v>5.4545454545454604</v>
      </c>
      <c r="K208" s="20">
        <f t="shared" si="7"/>
        <v>5.4545454545454604</v>
      </c>
      <c r="M208"/>
    </row>
    <row r="209" spans="1:13" x14ac:dyDescent="0.35">
      <c r="A209">
        <v>208</v>
      </c>
      <c r="B209" t="s">
        <v>394</v>
      </c>
      <c r="C209" t="s">
        <v>361</v>
      </c>
      <c r="D209">
        <v>2</v>
      </c>
      <c r="E209" t="s">
        <v>131</v>
      </c>
      <c r="F209" s="2">
        <v>45939</v>
      </c>
      <c r="G209" s="20">
        <v>111.03636363636363</v>
      </c>
      <c r="H209" s="20">
        <v>122.14</v>
      </c>
      <c r="I209" s="20">
        <v>248.79</v>
      </c>
      <c r="J209" s="20">
        <f t="shared" si="6"/>
        <v>11.103636363636369</v>
      </c>
      <c r="K209" s="20">
        <f t="shared" si="7"/>
        <v>22.207272727272738</v>
      </c>
      <c r="M209"/>
    </row>
    <row r="210" spans="1:13" x14ac:dyDescent="0.35">
      <c r="A210">
        <v>209</v>
      </c>
      <c r="B210" t="s">
        <v>395</v>
      </c>
      <c r="C210" t="s">
        <v>1076</v>
      </c>
      <c r="D210">
        <v>1</v>
      </c>
      <c r="E210" t="s">
        <v>131</v>
      </c>
      <c r="F210" s="2">
        <v>45939</v>
      </c>
      <c r="G210" s="20">
        <v>35.927272727272729</v>
      </c>
      <c r="H210" s="20">
        <v>39.520000000000003</v>
      </c>
      <c r="I210" s="20">
        <v>40.25</v>
      </c>
      <c r="J210" s="20">
        <f t="shared" si="6"/>
        <v>3.5927272727272737</v>
      </c>
      <c r="K210" s="20">
        <f t="shared" si="7"/>
        <v>3.5927272727272737</v>
      </c>
      <c r="M210"/>
    </row>
    <row r="211" spans="1:13" x14ac:dyDescent="0.35">
      <c r="A211">
        <v>210</v>
      </c>
      <c r="B211" t="s">
        <v>396</v>
      </c>
      <c r="C211" t="s">
        <v>360</v>
      </c>
      <c r="D211">
        <v>1</v>
      </c>
      <c r="E211" t="s">
        <v>131</v>
      </c>
      <c r="F211" s="2">
        <v>45939</v>
      </c>
      <c r="G211" s="20">
        <v>116.88181818181816</v>
      </c>
      <c r="H211" s="20">
        <v>128.57</v>
      </c>
      <c r="I211" s="20">
        <v>130.94999999999999</v>
      </c>
      <c r="J211" s="20">
        <f t="shared" si="6"/>
        <v>11.688181818181832</v>
      </c>
      <c r="K211" s="20">
        <f t="shared" si="7"/>
        <v>11.688181818181832</v>
      </c>
      <c r="M211"/>
    </row>
    <row r="212" spans="1:13" x14ac:dyDescent="0.35">
      <c r="A212">
        <v>211</v>
      </c>
      <c r="B212" t="s">
        <v>397</v>
      </c>
      <c r="C212" t="s">
        <v>360</v>
      </c>
      <c r="D212">
        <v>1</v>
      </c>
      <c r="E212" t="s">
        <v>131</v>
      </c>
      <c r="F212" s="2">
        <v>45939</v>
      </c>
      <c r="G212" s="20">
        <v>112.39999999999999</v>
      </c>
      <c r="H212" s="20">
        <v>123.64</v>
      </c>
      <c r="I212" s="20">
        <v>125.93</v>
      </c>
      <c r="J212" s="20">
        <f t="shared" si="6"/>
        <v>11.240000000000009</v>
      </c>
      <c r="K212" s="20">
        <f t="shared" si="7"/>
        <v>11.240000000000009</v>
      </c>
      <c r="M212"/>
    </row>
    <row r="213" spans="1:13" x14ac:dyDescent="0.35">
      <c r="A213">
        <v>212</v>
      </c>
      <c r="B213" t="s">
        <v>398</v>
      </c>
      <c r="C213" t="s">
        <v>1076</v>
      </c>
      <c r="D213">
        <v>1</v>
      </c>
      <c r="E213" t="s">
        <v>131</v>
      </c>
      <c r="F213" s="2">
        <v>45939</v>
      </c>
      <c r="G213" s="20">
        <v>252.70000000000002</v>
      </c>
      <c r="H213" s="20">
        <v>277.97000000000003</v>
      </c>
      <c r="I213" s="20">
        <v>283.11</v>
      </c>
      <c r="J213" s="20">
        <f t="shared" si="6"/>
        <v>25.27000000000001</v>
      </c>
      <c r="K213" s="20">
        <f t="shared" si="7"/>
        <v>25.27000000000001</v>
      </c>
      <c r="M213"/>
    </row>
    <row r="214" spans="1:13" x14ac:dyDescent="0.35">
      <c r="A214">
        <v>213</v>
      </c>
      <c r="B214" t="s">
        <v>399</v>
      </c>
      <c r="C214" t="s">
        <v>1076</v>
      </c>
      <c r="D214">
        <v>2</v>
      </c>
      <c r="E214" t="s">
        <v>131</v>
      </c>
      <c r="F214" s="2">
        <v>45939</v>
      </c>
      <c r="G214" s="20">
        <v>76.354545454545445</v>
      </c>
      <c r="H214" s="20">
        <v>83.99</v>
      </c>
      <c r="I214" s="20">
        <v>176.36</v>
      </c>
      <c r="J214" s="20">
        <f t="shared" si="6"/>
        <v>7.6354545454545502</v>
      </c>
      <c r="K214" s="20">
        <f t="shared" si="7"/>
        <v>15.2709090909091</v>
      </c>
      <c r="M214"/>
    </row>
    <row r="215" spans="1:13" x14ac:dyDescent="0.35">
      <c r="A215">
        <v>214</v>
      </c>
      <c r="B215" t="s">
        <v>411</v>
      </c>
      <c r="C215" t="s">
        <v>366</v>
      </c>
      <c r="D215">
        <v>1</v>
      </c>
      <c r="E215" t="s">
        <v>413</v>
      </c>
      <c r="F215" s="2">
        <v>45939</v>
      </c>
      <c r="G215" s="20">
        <v>2330.2909090909088</v>
      </c>
      <c r="H215" s="20">
        <v>2563.3200000000002</v>
      </c>
      <c r="I215" s="20">
        <v>2610.7399999999998</v>
      </c>
      <c r="J215" s="20">
        <f t="shared" si="6"/>
        <v>233.02909090909134</v>
      </c>
      <c r="K215" s="20">
        <f t="shared" si="7"/>
        <v>233.02909090909134</v>
      </c>
      <c r="M215"/>
    </row>
    <row r="216" spans="1:13" x14ac:dyDescent="0.35">
      <c r="A216">
        <v>215</v>
      </c>
      <c r="B216" t="s">
        <v>414</v>
      </c>
      <c r="C216" t="s">
        <v>1076</v>
      </c>
      <c r="D216">
        <v>1</v>
      </c>
      <c r="E216" t="s">
        <v>95</v>
      </c>
      <c r="F216" s="2">
        <v>45939</v>
      </c>
      <c r="G216" s="20">
        <v>687.87272727272716</v>
      </c>
      <c r="H216" s="20">
        <v>756.66</v>
      </c>
      <c r="I216" s="20">
        <v>770.66</v>
      </c>
      <c r="J216" s="20">
        <f t="shared" si="6"/>
        <v>68.787272727272807</v>
      </c>
      <c r="K216" s="20">
        <f t="shared" si="7"/>
        <v>68.787272727272807</v>
      </c>
      <c r="M216"/>
    </row>
    <row r="217" spans="1:13" x14ac:dyDescent="0.35">
      <c r="A217">
        <v>216</v>
      </c>
      <c r="B217" t="s">
        <v>249</v>
      </c>
      <c r="C217" t="s">
        <v>360</v>
      </c>
      <c r="D217">
        <v>10</v>
      </c>
      <c r="E217" t="s">
        <v>95</v>
      </c>
      <c r="F217" s="2">
        <v>45939</v>
      </c>
      <c r="G217" s="20">
        <v>74.354545454545459</v>
      </c>
      <c r="H217" s="20">
        <v>81.790000000000006</v>
      </c>
      <c r="I217" s="20">
        <v>833.02</v>
      </c>
      <c r="J217" s="20">
        <f t="shared" si="6"/>
        <v>7.4354545454545473</v>
      </c>
      <c r="K217" s="20">
        <f t="shared" si="7"/>
        <v>74.354545454545473</v>
      </c>
      <c r="M217"/>
    </row>
    <row r="218" spans="1:13" x14ac:dyDescent="0.35">
      <c r="A218">
        <v>217</v>
      </c>
      <c r="B218" t="s">
        <v>415</v>
      </c>
      <c r="C218" t="s">
        <v>1076</v>
      </c>
      <c r="D218">
        <v>1</v>
      </c>
      <c r="E218" t="s">
        <v>95</v>
      </c>
      <c r="F218" s="2">
        <v>45939</v>
      </c>
      <c r="G218" s="20">
        <v>22.027272727272727</v>
      </c>
      <c r="H218" s="20">
        <v>24.23</v>
      </c>
      <c r="I218" s="20">
        <v>24.68</v>
      </c>
      <c r="J218" s="20">
        <f t="shared" si="6"/>
        <v>2.2027272727272731</v>
      </c>
      <c r="K218" s="20">
        <f t="shared" si="7"/>
        <v>2.2027272727272731</v>
      </c>
      <c r="M218"/>
    </row>
    <row r="219" spans="1:13" x14ac:dyDescent="0.35">
      <c r="A219">
        <v>218</v>
      </c>
      <c r="B219" t="s">
        <v>416</v>
      </c>
      <c r="C219" t="s">
        <v>1076</v>
      </c>
      <c r="D219">
        <v>3</v>
      </c>
      <c r="E219" t="s">
        <v>95</v>
      </c>
      <c r="F219" s="2">
        <v>45939</v>
      </c>
      <c r="G219" s="20">
        <v>22.372727272727271</v>
      </c>
      <c r="H219" s="20">
        <v>24.61</v>
      </c>
      <c r="I219" s="20">
        <v>79.2</v>
      </c>
      <c r="J219" s="20">
        <f t="shared" si="6"/>
        <v>2.2372727272727282</v>
      </c>
      <c r="K219" s="20">
        <f t="shared" si="7"/>
        <v>6.7118181818181846</v>
      </c>
      <c r="M219"/>
    </row>
    <row r="220" spans="1:13" x14ac:dyDescent="0.35">
      <c r="A220">
        <v>219</v>
      </c>
      <c r="B220" t="s">
        <v>417</v>
      </c>
      <c r="C220" t="s">
        <v>1075</v>
      </c>
      <c r="D220">
        <v>4</v>
      </c>
      <c r="E220" t="s">
        <v>95</v>
      </c>
      <c r="F220" s="2">
        <v>45939</v>
      </c>
      <c r="G220" s="20">
        <v>94.154545454545442</v>
      </c>
      <c r="H220" s="20">
        <v>103.57</v>
      </c>
      <c r="I220" s="20">
        <v>421.96</v>
      </c>
      <c r="J220" s="20">
        <f t="shared" si="6"/>
        <v>9.4154545454545513</v>
      </c>
      <c r="K220" s="20">
        <f t="shared" si="7"/>
        <v>37.661818181818205</v>
      </c>
      <c r="M220"/>
    </row>
    <row r="221" spans="1:13" x14ac:dyDescent="0.35">
      <c r="A221">
        <v>220</v>
      </c>
      <c r="B221" t="s">
        <v>418</v>
      </c>
      <c r="C221" t="s">
        <v>1076</v>
      </c>
      <c r="D221">
        <v>1</v>
      </c>
      <c r="E221" t="s">
        <v>95</v>
      </c>
      <c r="F221" s="2">
        <v>45939</v>
      </c>
      <c r="G221" s="20">
        <v>81.445454545454538</v>
      </c>
      <c r="H221" s="20">
        <v>89.59</v>
      </c>
      <c r="I221" s="20">
        <v>102.54</v>
      </c>
      <c r="J221" s="20">
        <f t="shared" si="6"/>
        <v>8.1445454545454652</v>
      </c>
      <c r="K221" s="20">
        <f t="shared" si="7"/>
        <v>8.1445454545454652</v>
      </c>
      <c r="M221"/>
    </row>
    <row r="222" spans="1:13" x14ac:dyDescent="0.35">
      <c r="A222">
        <v>221</v>
      </c>
      <c r="B222" t="s">
        <v>419</v>
      </c>
      <c r="C222" t="s">
        <v>1075</v>
      </c>
      <c r="D222">
        <v>2</v>
      </c>
      <c r="E222" t="s">
        <v>95</v>
      </c>
      <c r="F222" s="2">
        <v>45939</v>
      </c>
      <c r="G222" s="20">
        <v>124.34545454545453</v>
      </c>
      <c r="H222" s="20">
        <v>136.78</v>
      </c>
      <c r="I222" s="20">
        <v>278.81</v>
      </c>
      <c r="J222" s="20">
        <f t="shared" si="6"/>
        <v>12.434545454545471</v>
      </c>
      <c r="K222" s="20">
        <f t="shared" si="7"/>
        <v>24.869090909090943</v>
      </c>
      <c r="M222"/>
    </row>
    <row r="223" spans="1:13" x14ac:dyDescent="0.35">
      <c r="A223">
        <v>222</v>
      </c>
      <c r="B223" t="s">
        <v>420</v>
      </c>
      <c r="C223" t="s">
        <v>367</v>
      </c>
      <c r="D223">
        <v>4</v>
      </c>
      <c r="E223" t="s">
        <v>95</v>
      </c>
      <c r="F223" s="2">
        <v>45939</v>
      </c>
      <c r="G223" s="20">
        <v>242.20909090909089</v>
      </c>
      <c r="H223" s="20">
        <v>266.43</v>
      </c>
      <c r="I223" s="20">
        <v>963.34</v>
      </c>
      <c r="J223" s="20">
        <f t="shared" si="6"/>
        <v>24.220909090909117</v>
      </c>
      <c r="K223" s="20">
        <f t="shared" si="7"/>
        <v>96.883636363636469</v>
      </c>
      <c r="M223"/>
    </row>
    <row r="224" spans="1:13" x14ac:dyDescent="0.35">
      <c r="A224">
        <v>223</v>
      </c>
      <c r="B224" t="s">
        <v>421</v>
      </c>
      <c r="C224" t="s">
        <v>1075</v>
      </c>
      <c r="D224">
        <v>1</v>
      </c>
      <c r="E224" t="s">
        <v>95</v>
      </c>
      <c r="F224" s="2">
        <v>45939</v>
      </c>
      <c r="G224" s="20">
        <v>20.563636363636363</v>
      </c>
      <c r="H224" s="20">
        <v>22.62</v>
      </c>
      <c r="I224" s="20">
        <v>23.04</v>
      </c>
      <c r="J224" s="20">
        <f t="shared" si="6"/>
        <v>2.0563636363636384</v>
      </c>
      <c r="K224" s="20">
        <f t="shared" si="7"/>
        <v>2.0563636363636384</v>
      </c>
      <c r="M224"/>
    </row>
    <row r="225" spans="1:13" x14ac:dyDescent="0.35">
      <c r="A225">
        <v>224</v>
      </c>
      <c r="B225" t="s">
        <v>422</v>
      </c>
      <c r="C225" t="s">
        <v>367</v>
      </c>
      <c r="D225">
        <v>2</v>
      </c>
      <c r="E225" t="s">
        <v>95</v>
      </c>
      <c r="F225" s="2">
        <v>45939</v>
      </c>
      <c r="G225" s="20">
        <v>290.25454545454539</v>
      </c>
      <c r="H225" s="20">
        <v>319.27999999999997</v>
      </c>
      <c r="I225" s="20">
        <v>650.38</v>
      </c>
      <c r="J225" s="20">
        <f t="shared" si="6"/>
        <v>29.025454545454579</v>
      </c>
      <c r="K225" s="20">
        <f t="shared" si="7"/>
        <v>58.050909090909158</v>
      </c>
      <c r="M225"/>
    </row>
    <row r="226" spans="1:13" x14ac:dyDescent="0.35">
      <c r="A226">
        <v>225</v>
      </c>
      <c r="B226" t="s">
        <v>423</v>
      </c>
      <c r="C226" t="s">
        <v>361</v>
      </c>
      <c r="D226">
        <v>2</v>
      </c>
      <c r="E226" t="s">
        <v>95</v>
      </c>
      <c r="F226" s="2">
        <v>45939</v>
      </c>
      <c r="G226" s="20">
        <v>1131.4909090909091</v>
      </c>
      <c r="H226" s="20">
        <v>1244.6400000000001</v>
      </c>
      <c r="I226" s="20">
        <v>2535.34</v>
      </c>
      <c r="J226" s="20">
        <f t="shared" si="6"/>
        <v>113.149090909091</v>
      </c>
      <c r="K226" s="20">
        <f t="shared" si="7"/>
        <v>226.298181818182</v>
      </c>
      <c r="M226"/>
    </row>
    <row r="227" spans="1:13" x14ac:dyDescent="0.35">
      <c r="A227">
        <v>226</v>
      </c>
      <c r="B227" t="s">
        <v>330</v>
      </c>
      <c r="C227" t="s">
        <v>1076</v>
      </c>
      <c r="D227">
        <v>1</v>
      </c>
      <c r="E227" t="s">
        <v>95</v>
      </c>
      <c r="F227" s="2">
        <v>45939</v>
      </c>
      <c r="G227" s="20">
        <v>69.181818181818173</v>
      </c>
      <c r="H227" s="20">
        <v>76.099999999999994</v>
      </c>
      <c r="I227" s="20">
        <v>77.52</v>
      </c>
      <c r="J227" s="20">
        <f t="shared" si="6"/>
        <v>6.9181818181818215</v>
      </c>
      <c r="K227" s="20">
        <f t="shared" si="7"/>
        <v>6.9181818181818215</v>
      </c>
      <c r="M227"/>
    </row>
    <row r="228" spans="1:13" x14ac:dyDescent="0.35">
      <c r="A228">
        <v>227</v>
      </c>
      <c r="B228" t="s">
        <v>434</v>
      </c>
      <c r="C228" t="s">
        <v>361</v>
      </c>
      <c r="D228">
        <v>5</v>
      </c>
      <c r="E228" t="s">
        <v>436</v>
      </c>
      <c r="F228" s="2">
        <v>45940</v>
      </c>
      <c r="G228" s="20">
        <v>448.13636363636357</v>
      </c>
      <c r="H228" s="20">
        <v>492.95</v>
      </c>
      <c r="I228" s="20">
        <v>2510.35</v>
      </c>
      <c r="J228" s="20">
        <f t="shared" si="6"/>
        <v>44.813636363636419</v>
      </c>
      <c r="K228" s="20">
        <f t="shared" si="7"/>
        <v>224.0681818181821</v>
      </c>
      <c r="M228"/>
    </row>
    <row r="229" spans="1:13" x14ac:dyDescent="0.35">
      <c r="A229">
        <v>228</v>
      </c>
      <c r="B229" t="s">
        <v>437</v>
      </c>
      <c r="C229" t="s">
        <v>361</v>
      </c>
      <c r="D229">
        <v>5</v>
      </c>
      <c r="E229" t="s">
        <v>95</v>
      </c>
      <c r="F229" s="2">
        <v>45940</v>
      </c>
      <c r="G229" s="20">
        <v>84.090909090909079</v>
      </c>
      <c r="H229" s="20">
        <v>92.5</v>
      </c>
      <c r="I229" s="20">
        <v>471.07</v>
      </c>
      <c r="J229" s="20">
        <f t="shared" si="6"/>
        <v>8.4090909090909207</v>
      </c>
      <c r="K229" s="20">
        <f t="shared" si="7"/>
        <v>42.045454545454604</v>
      </c>
      <c r="M229"/>
    </row>
    <row r="230" spans="1:13" x14ac:dyDescent="0.35">
      <c r="A230">
        <v>229</v>
      </c>
      <c r="B230" t="s">
        <v>438</v>
      </c>
      <c r="C230" t="s">
        <v>362</v>
      </c>
      <c r="D230">
        <v>7</v>
      </c>
      <c r="E230" t="s">
        <v>95</v>
      </c>
      <c r="F230" s="2">
        <v>45940</v>
      </c>
      <c r="G230" s="20">
        <v>107.36363636363635</v>
      </c>
      <c r="H230" s="20">
        <v>118.1</v>
      </c>
      <c r="I230" s="20">
        <v>842</v>
      </c>
      <c r="J230" s="20">
        <f t="shared" si="6"/>
        <v>10.736363636363649</v>
      </c>
      <c r="K230" s="20">
        <f t="shared" si="7"/>
        <v>75.154545454545541</v>
      </c>
      <c r="M230"/>
    </row>
    <row r="231" spans="1:13" x14ac:dyDescent="0.35">
      <c r="A231">
        <v>230</v>
      </c>
      <c r="B231" t="s">
        <v>439</v>
      </c>
      <c r="C231" t="s">
        <v>362</v>
      </c>
      <c r="D231">
        <v>7</v>
      </c>
      <c r="E231" t="s">
        <v>95</v>
      </c>
      <c r="F231" s="2">
        <v>45940</v>
      </c>
      <c r="G231" s="20">
        <v>172.1090909090909</v>
      </c>
      <c r="H231" s="20">
        <v>189.32</v>
      </c>
      <c r="I231" s="20">
        <v>1349.76</v>
      </c>
      <c r="J231" s="20">
        <f t="shared" si="6"/>
        <v>17.210909090909098</v>
      </c>
      <c r="K231" s="20">
        <f t="shared" si="7"/>
        <v>120.47636363636369</v>
      </c>
      <c r="M231"/>
    </row>
    <row r="232" spans="1:13" x14ac:dyDescent="0.35">
      <c r="A232">
        <v>231</v>
      </c>
      <c r="B232" t="s">
        <v>440</v>
      </c>
      <c r="C232" t="s">
        <v>361</v>
      </c>
      <c r="D232">
        <v>2</v>
      </c>
      <c r="E232" t="s">
        <v>95</v>
      </c>
      <c r="F232" s="2">
        <v>45940</v>
      </c>
      <c r="G232" s="20">
        <v>96.636363636363626</v>
      </c>
      <c r="H232" s="20">
        <v>106.3</v>
      </c>
      <c r="I232" s="20">
        <v>216.54</v>
      </c>
      <c r="J232" s="20">
        <f t="shared" si="6"/>
        <v>9.6636363636363711</v>
      </c>
      <c r="K232" s="20">
        <f t="shared" si="7"/>
        <v>19.327272727272742</v>
      </c>
      <c r="M232"/>
    </row>
    <row r="233" spans="1:13" x14ac:dyDescent="0.35">
      <c r="A233">
        <v>232</v>
      </c>
      <c r="B233" t="s">
        <v>441</v>
      </c>
      <c r="C233" t="s">
        <v>361</v>
      </c>
      <c r="D233">
        <v>1</v>
      </c>
      <c r="E233" t="s">
        <v>95</v>
      </c>
      <c r="F233" s="2">
        <v>45940</v>
      </c>
      <c r="G233" s="20">
        <v>348.95454545454544</v>
      </c>
      <c r="H233" s="20">
        <v>383.85</v>
      </c>
      <c r="I233" s="20">
        <v>390.95</v>
      </c>
      <c r="J233" s="20">
        <f t="shared" si="6"/>
        <v>34.895454545454584</v>
      </c>
      <c r="K233" s="20">
        <f t="shared" si="7"/>
        <v>34.895454545454584</v>
      </c>
      <c r="M233"/>
    </row>
    <row r="234" spans="1:13" x14ac:dyDescent="0.35">
      <c r="A234">
        <v>233</v>
      </c>
      <c r="B234" t="s">
        <v>442</v>
      </c>
      <c r="C234" t="s">
        <v>362</v>
      </c>
      <c r="D234">
        <v>1</v>
      </c>
      <c r="E234" t="s">
        <v>95</v>
      </c>
      <c r="F234" s="2">
        <v>45940</v>
      </c>
      <c r="G234" s="20">
        <v>897.09090909090901</v>
      </c>
      <c r="H234" s="20">
        <v>986.8</v>
      </c>
      <c r="I234" s="20">
        <v>1005.06</v>
      </c>
      <c r="J234" s="20">
        <f t="shared" si="6"/>
        <v>89.709090909090946</v>
      </c>
      <c r="K234" s="20">
        <f t="shared" si="7"/>
        <v>89.709090909090946</v>
      </c>
      <c r="M234"/>
    </row>
    <row r="235" spans="1:13" x14ac:dyDescent="0.35">
      <c r="A235">
        <v>234</v>
      </c>
      <c r="B235" t="s">
        <v>443</v>
      </c>
      <c r="C235" t="s">
        <v>1077</v>
      </c>
      <c r="D235">
        <v>7</v>
      </c>
      <c r="E235" t="s">
        <v>95</v>
      </c>
      <c r="F235" s="2">
        <v>45940</v>
      </c>
      <c r="G235" s="20">
        <v>109.41818181818181</v>
      </c>
      <c r="H235" s="20">
        <v>120.36</v>
      </c>
      <c r="I235" s="20">
        <v>802.95</v>
      </c>
      <c r="J235" s="20">
        <f t="shared" si="6"/>
        <v>10.941818181818192</v>
      </c>
      <c r="K235" s="20">
        <f t="shared" si="7"/>
        <v>76.592727272727345</v>
      </c>
      <c r="M235"/>
    </row>
    <row r="236" spans="1:13" x14ac:dyDescent="0.35">
      <c r="A236">
        <v>235</v>
      </c>
      <c r="B236" t="s">
        <v>444</v>
      </c>
      <c r="C236" t="s">
        <v>1077</v>
      </c>
      <c r="D236">
        <v>1</v>
      </c>
      <c r="E236" t="s">
        <v>95</v>
      </c>
      <c r="F236" s="2">
        <v>45940</v>
      </c>
      <c r="G236" s="20">
        <v>251.69090909090909</v>
      </c>
      <c r="H236" s="20">
        <v>276.86</v>
      </c>
      <c r="I236" s="20">
        <v>272.82</v>
      </c>
      <c r="J236" s="20">
        <f t="shared" si="6"/>
        <v>25.169090909090926</v>
      </c>
      <c r="K236" s="20">
        <f t="shared" si="7"/>
        <v>25.169090909090926</v>
      </c>
      <c r="M236"/>
    </row>
    <row r="237" spans="1:13" x14ac:dyDescent="0.35">
      <c r="A237">
        <v>236</v>
      </c>
      <c r="B237" t="s">
        <v>445</v>
      </c>
      <c r="C237" t="s">
        <v>1077</v>
      </c>
      <c r="D237">
        <v>5</v>
      </c>
      <c r="E237" t="s">
        <v>95</v>
      </c>
      <c r="F237" s="2">
        <v>45940</v>
      </c>
      <c r="G237" s="20">
        <v>19.845454545454544</v>
      </c>
      <c r="H237" s="20">
        <v>21.83</v>
      </c>
      <c r="I237" s="20">
        <v>111.18</v>
      </c>
      <c r="J237" s="20">
        <f t="shared" si="6"/>
        <v>1.9845454545454544</v>
      </c>
      <c r="K237" s="20">
        <f t="shared" si="7"/>
        <v>9.922727272727272</v>
      </c>
      <c r="M237"/>
    </row>
    <row r="238" spans="1:13" x14ac:dyDescent="0.35">
      <c r="A238">
        <v>237</v>
      </c>
      <c r="B238" t="s">
        <v>13</v>
      </c>
      <c r="C238" t="s">
        <v>365</v>
      </c>
      <c r="D238">
        <v>2</v>
      </c>
      <c r="E238" t="s">
        <v>95</v>
      </c>
      <c r="F238" s="2">
        <v>45940</v>
      </c>
      <c r="G238" s="20">
        <v>323.59090909090907</v>
      </c>
      <c r="H238" s="20">
        <v>355.95</v>
      </c>
      <c r="I238" s="20">
        <v>814.84</v>
      </c>
      <c r="J238" s="20">
        <f t="shared" si="6"/>
        <v>32.359090909090924</v>
      </c>
      <c r="K238" s="20">
        <f t="shared" si="7"/>
        <v>64.718181818181847</v>
      </c>
      <c r="M238"/>
    </row>
    <row r="239" spans="1:13" x14ac:dyDescent="0.35">
      <c r="A239">
        <v>238</v>
      </c>
      <c r="B239" t="s">
        <v>1033</v>
      </c>
      <c r="C239" t="s">
        <v>362</v>
      </c>
      <c r="D239">
        <v>1</v>
      </c>
      <c r="E239" t="s">
        <v>95</v>
      </c>
      <c r="F239" s="2">
        <v>45940</v>
      </c>
      <c r="G239" s="20">
        <v>807.16363636363633</v>
      </c>
      <c r="H239" s="20">
        <v>887.88</v>
      </c>
      <c r="I239" s="20">
        <v>904.3</v>
      </c>
      <c r="J239" s="20">
        <f t="shared" si="6"/>
        <v>80.716363636363667</v>
      </c>
      <c r="K239" s="20">
        <f t="shared" si="7"/>
        <v>80.716363636363667</v>
      </c>
      <c r="M239"/>
    </row>
    <row r="240" spans="1:13" x14ac:dyDescent="0.35">
      <c r="A240">
        <v>239</v>
      </c>
      <c r="B240" t="s">
        <v>1033</v>
      </c>
      <c r="C240" t="s">
        <v>362</v>
      </c>
      <c r="D240">
        <v>1</v>
      </c>
      <c r="E240" t="s">
        <v>95</v>
      </c>
      <c r="F240" s="2">
        <v>45949</v>
      </c>
      <c r="G240" s="20">
        <v>807.16363636363633</v>
      </c>
      <c r="H240" s="20">
        <v>887.88</v>
      </c>
      <c r="I240" s="20">
        <v>904.3</v>
      </c>
      <c r="J240" s="20">
        <f t="shared" si="6"/>
        <v>80.716363636363667</v>
      </c>
      <c r="K240" s="20">
        <f t="shared" si="7"/>
        <v>80.716363636363667</v>
      </c>
      <c r="M240"/>
    </row>
    <row r="241" spans="1:13" x14ac:dyDescent="0.35">
      <c r="A241">
        <v>240</v>
      </c>
      <c r="B241" t="s">
        <v>447</v>
      </c>
      <c r="C241" t="s">
        <v>1075</v>
      </c>
      <c r="D241">
        <v>1</v>
      </c>
      <c r="E241" t="s">
        <v>95</v>
      </c>
      <c r="F241" s="2">
        <v>45940</v>
      </c>
      <c r="G241" s="20">
        <v>65.25454545454545</v>
      </c>
      <c r="H241" s="20">
        <v>71.78</v>
      </c>
      <c r="I241" s="20">
        <v>73.11</v>
      </c>
      <c r="J241" s="20">
        <f t="shared" si="6"/>
        <v>6.5254545454545507</v>
      </c>
      <c r="K241" s="20">
        <f t="shared" si="7"/>
        <v>6.5254545454545507</v>
      </c>
      <c r="M241"/>
    </row>
    <row r="242" spans="1:13" x14ac:dyDescent="0.35">
      <c r="A242">
        <v>241</v>
      </c>
      <c r="B242" t="s">
        <v>448</v>
      </c>
      <c r="C242" t="s">
        <v>359</v>
      </c>
      <c r="D242">
        <v>2</v>
      </c>
      <c r="E242" t="s">
        <v>95</v>
      </c>
      <c r="F242" s="2">
        <v>45940</v>
      </c>
      <c r="G242" s="20">
        <v>55.581818181818178</v>
      </c>
      <c r="H242" s="20">
        <v>61.14</v>
      </c>
      <c r="I242" s="20">
        <v>124.55</v>
      </c>
      <c r="J242" s="20">
        <f t="shared" si="6"/>
        <v>5.5581818181818221</v>
      </c>
      <c r="K242" s="20">
        <f t="shared" si="7"/>
        <v>11.116363636363644</v>
      </c>
      <c r="M242"/>
    </row>
    <row r="243" spans="1:13" x14ac:dyDescent="0.35">
      <c r="A243">
        <v>242</v>
      </c>
      <c r="B243" t="s">
        <v>449</v>
      </c>
      <c r="C243" t="s">
        <v>361</v>
      </c>
      <c r="D243">
        <v>5</v>
      </c>
      <c r="E243" t="s">
        <v>95</v>
      </c>
      <c r="F243" s="2">
        <v>45940</v>
      </c>
      <c r="G243" s="20">
        <v>77.86363636363636</v>
      </c>
      <c r="H243" s="20">
        <v>85.65</v>
      </c>
      <c r="I243" s="20">
        <v>436.18</v>
      </c>
      <c r="J243" s="20">
        <f t="shared" si="6"/>
        <v>7.7863636363636459</v>
      </c>
      <c r="K243" s="20">
        <f t="shared" si="7"/>
        <v>38.93181818181823</v>
      </c>
      <c r="M243"/>
    </row>
    <row r="244" spans="1:13" x14ac:dyDescent="0.35">
      <c r="A244">
        <v>243</v>
      </c>
      <c r="B244" t="s">
        <v>460</v>
      </c>
      <c r="C244" t="s">
        <v>1075</v>
      </c>
      <c r="D244">
        <v>1</v>
      </c>
      <c r="E244" t="s">
        <v>37</v>
      </c>
      <c r="F244" s="2">
        <v>45941</v>
      </c>
      <c r="G244" s="20">
        <v>223.89090909090908</v>
      </c>
      <c r="H244" s="20">
        <v>246.28</v>
      </c>
      <c r="I244" s="20">
        <v>250.83</v>
      </c>
      <c r="J244" s="20">
        <f t="shared" si="6"/>
        <v>22.389090909090925</v>
      </c>
      <c r="K244" s="20">
        <f t="shared" si="7"/>
        <v>22.389090909090925</v>
      </c>
      <c r="M244"/>
    </row>
    <row r="245" spans="1:13" x14ac:dyDescent="0.35">
      <c r="A245">
        <v>244</v>
      </c>
      <c r="B245" t="s">
        <v>461</v>
      </c>
      <c r="C245" t="s">
        <v>361</v>
      </c>
      <c r="D245">
        <v>1</v>
      </c>
      <c r="E245" t="s">
        <v>37</v>
      </c>
      <c r="F245" s="2">
        <v>45941</v>
      </c>
      <c r="G245" s="20">
        <v>391.37272727272722</v>
      </c>
      <c r="H245" s="20">
        <v>430.51</v>
      </c>
      <c r="I245" s="20">
        <v>492.75</v>
      </c>
      <c r="J245" s="20">
        <f t="shared" si="6"/>
        <v>39.137272727272773</v>
      </c>
      <c r="K245" s="20">
        <f t="shared" si="7"/>
        <v>39.137272727272773</v>
      </c>
      <c r="M245"/>
    </row>
    <row r="246" spans="1:13" x14ac:dyDescent="0.35">
      <c r="A246">
        <v>245</v>
      </c>
      <c r="B246" t="s">
        <v>462</v>
      </c>
      <c r="C246" t="s">
        <v>1077</v>
      </c>
      <c r="D246">
        <v>1</v>
      </c>
      <c r="E246" t="s">
        <v>37</v>
      </c>
      <c r="F246" s="2">
        <v>45941</v>
      </c>
      <c r="G246" s="20">
        <v>568.18181818181813</v>
      </c>
      <c r="H246" s="20">
        <v>625</v>
      </c>
      <c r="I246" s="20">
        <v>636.57000000000005</v>
      </c>
      <c r="J246" s="20">
        <f t="shared" si="6"/>
        <v>56.81818181818187</v>
      </c>
      <c r="K246" s="20">
        <f t="shared" si="7"/>
        <v>56.81818181818187</v>
      </c>
      <c r="M246"/>
    </row>
    <row r="247" spans="1:13" x14ac:dyDescent="0.35">
      <c r="A247">
        <v>246</v>
      </c>
      <c r="B247" t="s">
        <v>463</v>
      </c>
      <c r="C247" t="s">
        <v>361</v>
      </c>
      <c r="D247">
        <v>3</v>
      </c>
      <c r="E247" t="s">
        <v>37</v>
      </c>
      <c r="F247" s="2">
        <v>45941</v>
      </c>
      <c r="G247" s="20">
        <v>264.40909090909093</v>
      </c>
      <c r="H247" s="20">
        <v>290.85000000000002</v>
      </c>
      <c r="I247" s="20">
        <v>998.71</v>
      </c>
      <c r="J247" s="20">
        <f t="shared" si="6"/>
        <v>26.440909090909088</v>
      </c>
      <c r="K247" s="20">
        <f t="shared" si="7"/>
        <v>79.322727272727263</v>
      </c>
      <c r="M247"/>
    </row>
    <row r="248" spans="1:13" x14ac:dyDescent="0.35">
      <c r="A248">
        <v>247</v>
      </c>
      <c r="B248" t="s">
        <v>464</v>
      </c>
      <c r="C248" t="s">
        <v>368</v>
      </c>
      <c r="D248">
        <v>2</v>
      </c>
      <c r="E248" t="s">
        <v>37</v>
      </c>
      <c r="F248" s="2">
        <v>45941</v>
      </c>
      <c r="G248" s="20">
        <v>113.63636363636363</v>
      </c>
      <c r="H248" s="20">
        <v>125</v>
      </c>
      <c r="I248" s="20">
        <v>254.62</v>
      </c>
      <c r="J248" s="20">
        <f t="shared" si="6"/>
        <v>11.363636363636374</v>
      </c>
      <c r="K248" s="20">
        <f t="shared" si="7"/>
        <v>22.727272727272748</v>
      </c>
      <c r="M248"/>
    </row>
    <row r="249" spans="1:13" x14ac:dyDescent="0.35">
      <c r="A249">
        <v>248</v>
      </c>
      <c r="B249" t="s">
        <v>18</v>
      </c>
      <c r="C249" t="s">
        <v>1076</v>
      </c>
      <c r="D249">
        <v>1</v>
      </c>
      <c r="E249" t="s">
        <v>37</v>
      </c>
      <c r="F249" s="2">
        <v>45941</v>
      </c>
      <c r="G249" s="20">
        <v>246.09999999999997</v>
      </c>
      <c r="H249" s="20">
        <v>270.70999999999998</v>
      </c>
      <c r="I249" s="20">
        <v>275.70999999999998</v>
      </c>
      <c r="J249" s="20">
        <f t="shared" si="6"/>
        <v>24.610000000000014</v>
      </c>
      <c r="K249" s="20">
        <f t="shared" si="7"/>
        <v>24.610000000000014</v>
      </c>
      <c r="M249"/>
    </row>
    <row r="250" spans="1:13" x14ac:dyDescent="0.35">
      <c r="A250">
        <v>249</v>
      </c>
      <c r="B250" t="s">
        <v>465</v>
      </c>
      <c r="C250" t="s">
        <v>367</v>
      </c>
      <c r="D250">
        <v>3</v>
      </c>
      <c r="E250" t="s">
        <v>37</v>
      </c>
      <c r="F250" s="2">
        <v>45941</v>
      </c>
      <c r="G250" s="20">
        <v>96.636363636363626</v>
      </c>
      <c r="H250" s="20">
        <v>106.3</v>
      </c>
      <c r="I250" s="20">
        <v>324.79000000000002</v>
      </c>
      <c r="J250" s="20">
        <f t="shared" si="6"/>
        <v>9.6636363636363711</v>
      </c>
      <c r="K250" s="20">
        <f t="shared" si="7"/>
        <v>28.990909090909113</v>
      </c>
      <c r="M250"/>
    </row>
    <row r="251" spans="1:13" x14ac:dyDescent="0.35">
      <c r="A251">
        <v>250</v>
      </c>
      <c r="B251" t="s">
        <v>466</v>
      </c>
      <c r="C251" t="s">
        <v>367</v>
      </c>
      <c r="D251">
        <v>1</v>
      </c>
      <c r="E251" t="s">
        <v>37</v>
      </c>
      <c r="F251" s="2">
        <v>45941</v>
      </c>
      <c r="G251" s="20">
        <v>64.281818181818167</v>
      </c>
      <c r="H251" s="20">
        <v>70.709999999999994</v>
      </c>
      <c r="I251" s="20">
        <v>72.010000000000005</v>
      </c>
      <c r="J251" s="20">
        <f t="shared" si="6"/>
        <v>6.4281818181818267</v>
      </c>
      <c r="K251" s="20">
        <f t="shared" si="7"/>
        <v>6.4281818181818267</v>
      </c>
      <c r="M251"/>
    </row>
    <row r="252" spans="1:13" x14ac:dyDescent="0.35">
      <c r="A252">
        <v>251</v>
      </c>
      <c r="B252" t="s">
        <v>467</v>
      </c>
      <c r="C252" t="s">
        <v>1077</v>
      </c>
      <c r="D252">
        <v>1</v>
      </c>
      <c r="E252" t="s">
        <v>37</v>
      </c>
      <c r="F252" s="2">
        <v>45941</v>
      </c>
      <c r="G252" s="20">
        <v>82.954545454545453</v>
      </c>
      <c r="H252" s="20">
        <v>91.25</v>
      </c>
      <c r="I252" s="20">
        <v>92.93</v>
      </c>
      <c r="J252" s="20">
        <f t="shared" si="6"/>
        <v>8.2954545454545467</v>
      </c>
      <c r="K252" s="20">
        <f t="shared" si="7"/>
        <v>8.2954545454545467</v>
      </c>
      <c r="M252"/>
    </row>
    <row r="253" spans="1:13" x14ac:dyDescent="0.35">
      <c r="A253">
        <v>252</v>
      </c>
      <c r="B253" t="s">
        <v>468</v>
      </c>
      <c r="C253" t="s">
        <v>1076</v>
      </c>
      <c r="D253">
        <v>4</v>
      </c>
      <c r="E253" t="s">
        <v>37</v>
      </c>
      <c r="F253" s="2">
        <v>45941</v>
      </c>
      <c r="G253" s="20">
        <v>53.890909090909091</v>
      </c>
      <c r="H253" s="20">
        <v>59.28</v>
      </c>
      <c r="I253" s="20">
        <v>241.51</v>
      </c>
      <c r="J253" s="20">
        <f t="shared" si="6"/>
        <v>5.3890909090909105</v>
      </c>
      <c r="K253" s="20">
        <f t="shared" si="7"/>
        <v>21.556363636363642</v>
      </c>
      <c r="M253"/>
    </row>
    <row r="254" spans="1:13" x14ac:dyDescent="0.35">
      <c r="A254">
        <v>253</v>
      </c>
      <c r="B254" t="s">
        <v>469</v>
      </c>
      <c r="C254" t="s">
        <v>367</v>
      </c>
      <c r="D254">
        <v>2</v>
      </c>
      <c r="E254" t="s">
        <v>37</v>
      </c>
      <c r="F254" s="2">
        <v>45941</v>
      </c>
      <c r="G254" s="20">
        <v>95.999999999999986</v>
      </c>
      <c r="H254" s="20">
        <v>105.6</v>
      </c>
      <c r="I254" s="20">
        <v>217.32</v>
      </c>
      <c r="J254" s="20">
        <f t="shared" si="6"/>
        <v>9.6000000000000085</v>
      </c>
      <c r="K254" s="20">
        <f t="shared" si="7"/>
        <v>19.200000000000017</v>
      </c>
      <c r="M254"/>
    </row>
    <row r="255" spans="1:13" x14ac:dyDescent="0.35">
      <c r="A255">
        <v>254</v>
      </c>
      <c r="B255" t="s">
        <v>470</v>
      </c>
      <c r="C255" t="s">
        <v>368</v>
      </c>
      <c r="D255">
        <v>5</v>
      </c>
      <c r="E255" t="s">
        <v>37</v>
      </c>
      <c r="F255" s="2">
        <v>45941</v>
      </c>
      <c r="G255" s="20">
        <v>107.7090909090909</v>
      </c>
      <c r="H255" s="20">
        <v>118.48</v>
      </c>
      <c r="I255" s="20">
        <v>603.37</v>
      </c>
      <c r="J255" s="20">
        <f t="shared" si="6"/>
        <v>10.7709090909091</v>
      </c>
      <c r="K255" s="20">
        <f t="shared" si="7"/>
        <v>53.854545454545502</v>
      </c>
      <c r="M255"/>
    </row>
    <row r="256" spans="1:13" x14ac:dyDescent="0.35">
      <c r="A256">
        <v>255</v>
      </c>
      <c r="B256" t="s">
        <v>471</v>
      </c>
      <c r="C256" t="s">
        <v>366</v>
      </c>
      <c r="D256">
        <v>1</v>
      </c>
      <c r="E256" t="s">
        <v>37</v>
      </c>
      <c r="F256" s="2">
        <v>45941</v>
      </c>
      <c r="G256" s="20">
        <v>109.41818181818181</v>
      </c>
      <c r="H256" s="20">
        <v>120.36</v>
      </c>
      <c r="I256" s="20">
        <v>122.59</v>
      </c>
      <c r="J256" s="20">
        <f t="shared" si="6"/>
        <v>10.941818181818192</v>
      </c>
      <c r="K256" s="20">
        <f t="shared" si="7"/>
        <v>10.941818181818192</v>
      </c>
      <c r="M256"/>
    </row>
    <row r="257" spans="1:13" x14ac:dyDescent="0.35">
      <c r="A257">
        <v>256</v>
      </c>
      <c r="B257" t="s">
        <v>484</v>
      </c>
      <c r="C257" t="s">
        <v>365</v>
      </c>
      <c r="D257">
        <v>1</v>
      </c>
      <c r="E257" t="s">
        <v>37</v>
      </c>
      <c r="F257" s="2">
        <v>45941</v>
      </c>
      <c r="G257" s="20">
        <v>30.981818181818177</v>
      </c>
      <c r="H257" s="20">
        <v>34.08</v>
      </c>
      <c r="I257" s="20">
        <v>34.72</v>
      </c>
      <c r="J257" s="20">
        <f t="shared" si="6"/>
        <v>3.0981818181818213</v>
      </c>
      <c r="K257" s="20">
        <f t="shared" si="7"/>
        <v>3.0981818181818213</v>
      </c>
      <c r="M257"/>
    </row>
    <row r="258" spans="1:13" x14ac:dyDescent="0.35">
      <c r="A258">
        <v>257</v>
      </c>
      <c r="B258" t="s">
        <v>485</v>
      </c>
      <c r="C258" t="s">
        <v>368</v>
      </c>
      <c r="D258">
        <v>3</v>
      </c>
      <c r="E258" t="s">
        <v>37</v>
      </c>
      <c r="F258" s="2">
        <v>45941</v>
      </c>
      <c r="G258" s="20">
        <v>91.445454545454538</v>
      </c>
      <c r="H258" s="20">
        <v>100.59</v>
      </c>
      <c r="I258" s="20">
        <v>307.36</v>
      </c>
      <c r="J258" s="20">
        <f t="shared" ref="J258:J321" si="8">H258-G258</f>
        <v>9.1445454545454652</v>
      </c>
      <c r="K258" s="20">
        <f t="shared" ref="K258:K321" si="9">J258*D258</f>
        <v>27.433636363636396</v>
      </c>
      <c r="M258"/>
    </row>
    <row r="259" spans="1:13" x14ac:dyDescent="0.35">
      <c r="A259">
        <v>258</v>
      </c>
      <c r="B259" t="s">
        <v>486</v>
      </c>
      <c r="C259" t="s">
        <v>364</v>
      </c>
      <c r="D259">
        <v>1</v>
      </c>
      <c r="E259" t="s">
        <v>37</v>
      </c>
      <c r="F259" s="2">
        <v>45941</v>
      </c>
      <c r="G259" s="20">
        <v>131.91818181818181</v>
      </c>
      <c r="H259" s="20">
        <v>145.11000000000001</v>
      </c>
      <c r="I259" s="20">
        <v>149.33000000000001</v>
      </c>
      <c r="J259" s="20">
        <f t="shared" si="8"/>
        <v>13.191818181818206</v>
      </c>
      <c r="K259" s="20">
        <f t="shared" si="9"/>
        <v>13.191818181818206</v>
      </c>
      <c r="M259"/>
    </row>
    <row r="260" spans="1:13" x14ac:dyDescent="0.35">
      <c r="A260">
        <v>259</v>
      </c>
      <c r="B260" t="s">
        <v>489</v>
      </c>
      <c r="C260" t="s">
        <v>362</v>
      </c>
      <c r="D260">
        <v>1</v>
      </c>
      <c r="E260" t="s">
        <v>95</v>
      </c>
      <c r="F260" s="2">
        <v>45941</v>
      </c>
      <c r="G260" s="20">
        <v>518.82727272727277</v>
      </c>
      <c r="H260" s="20">
        <v>570.71</v>
      </c>
      <c r="I260" s="20">
        <v>581.27</v>
      </c>
      <c r="J260" s="20">
        <f t="shared" si="8"/>
        <v>51.882727272727266</v>
      </c>
      <c r="K260" s="20">
        <f t="shared" si="9"/>
        <v>51.882727272727266</v>
      </c>
      <c r="M260"/>
    </row>
    <row r="261" spans="1:13" x14ac:dyDescent="0.35">
      <c r="A261">
        <v>260</v>
      </c>
      <c r="B261" t="s">
        <v>490</v>
      </c>
      <c r="C261" t="s">
        <v>361</v>
      </c>
      <c r="D261">
        <v>1</v>
      </c>
      <c r="E261" t="s">
        <v>95</v>
      </c>
      <c r="F261" s="2">
        <v>45941</v>
      </c>
      <c r="G261" s="20">
        <v>226.6272727272727</v>
      </c>
      <c r="H261" s="20">
        <v>249.29</v>
      </c>
      <c r="I261" s="20">
        <v>253.91</v>
      </c>
      <c r="J261" s="20">
        <f t="shared" si="8"/>
        <v>22.662727272727295</v>
      </c>
      <c r="K261" s="20">
        <f t="shared" si="9"/>
        <v>22.662727272727295</v>
      </c>
      <c r="M261"/>
    </row>
    <row r="262" spans="1:13" x14ac:dyDescent="0.35">
      <c r="A262">
        <v>261</v>
      </c>
      <c r="B262" t="s">
        <v>491</v>
      </c>
      <c r="C262" t="s">
        <v>367</v>
      </c>
      <c r="D262">
        <v>2</v>
      </c>
      <c r="E262" t="s">
        <v>95</v>
      </c>
      <c r="F262" s="2">
        <v>45941</v>
      </c>
      <c r="G262" s="20">
        <v>147.39999999999998</v>
      </c>
      <c r="H262" s="20">
        <v>162.13999999999999</v>
      </c>
      <c r="I262" s="20">
        <v>330.27</v>
      </c>
      <c r="J262" s="20">
        <f t="shared" si="8"/>
        <v>14.740000000000009</v>
      </c>
      <c r="K262" s="20">
        <f t="shared" si="9"/>
        <v>29.480000000000018</v>
      </c>
      <c r="M262"/>
    </row>
    <row r="263" spans="1:13" x14ac:dyDescent="0.35">
      <c r="A263">
        <v>262</v>
      </c>
      <c r="B263" t="s">
        <v>492</v>
      </c>
      <c r="C263" t="s">
        <v>1076</v>
      </c>
      <c r="D263">
        <v>1</v>
      </c>
      <c r="E263" t="s">
        <v>95</v>
      </c>
      <c r="F263" s="2">
        <v>45941</v>
      </c>
      <c r="G263" s="20">
        <v>64.936363636363637</v>
      </c>
      <c r="H263" s="20">
        <v>71.430000000000007</v>
      </c>
      <c r="I263" s="20">
        <v>73.5</v>
      </c>
      <c r="J263" s="20">
        <f t="shared" si="8"/>
        <v>6.4936363636363694</v>
      </c>
      <c r="K263" s="20">
        <f t="shared" si="9"/>
        <v>6.4936363636363694</v>
      </c>
      <c r="M263"/>
    </row>
    <row r="264" spans="1:13" x14ac:dyDescent="0.35">
      <c r="A264">
        <v>263</v>
      </c>
      <c r="B264" t="s">
        <v>493</v>
      </c>
      <c r="C264" t="s">
        <v>1076</v>
      </c>
      <c r="D264">
        <v>1</v>
      </c>
      <c r="E264" t="s">
        <v>95</v>
      </c>
      <c r="F264" s="2">
        <v>45941</v>
      </c>
      <c r="G264" s="20">
        <v>53.009090909090908</v>
      </c>
      <c r="H264" s="20">
        <v>58.31</v>
      </c>
      <c r="I264" s="20">
        <v>59.38</v>
      </c>
      <c r="J264" s="20">
        <f t="shared" si="8"/>
        <v>5.3009090909090943</v>
      </c>
      <c r="K264" s="20">
        <f t="shared" si="9"/>
        <v>5.3009090909090943</v>
      </c>
      <c r="M264"/>
    </row>
    <row r="265" spans="1:13" x14ac:dyDescent="0.35">
      <c r="A265">
        <v>264</v>
      </c>
      <c r="B265" t="s">
        <v>499</v>
      </c>
      <c r="C265" t="s">
        <v>361</v>
      </c>
      <c r="D265">
        <v>5</v>
      </c>
      <c r="E265" t="s">
        <v>501</v>
      </c>
      <c r="F265" s="2">
        <v>45942</v>
      </c>
      <c r="G265" s="20">
        <v>369.18181818181819</v>
      </c>
      <c r="H265" s="20">
        <v>406.1</v>
      </c>
      <c r="I265" s="20">
        <v>2324</v>
      </c>
      <c r="J265" s="20">
        <f t="shared" si="8"/>
        <v>36.918181818181836</v>
      </c>
      <c r="K265" s="20">
        <f t="shared" si="9"/>
        <v>184.59090909090918</v>
      </c>
      <c r="M265"/>
    </row>
    <row r="266" spans="1:13" x14ac:dyDescent="0.35">
      <c r="A266">
        <v>265</v>
      </c>
      <c r="B266" t="s">
        <v>502</v>
      </c>
      <c r="C266" t="s">
        <v>365</v>
      </c>
      <c r="D266">
        <v>5</v>
      </c>
      <c r="E266" t="s">
        <v>95</v>
      </c>
      <c r="F266" s="2">
        <v>45942</v>
      </c>
      <c r="G266" s="20">
        <v>40.272727272727266</v>
      </c>
      <c r="H266" s="20">
        <v>44.3</v>
      </c>
      <c r="I266" s="20">
        <v>225.6</v>
      </c>
      <c r="J266" s="20">
        <f t="shared" si="8"/>
        <v>4.0272727272727309</v>
      </c>
      <c r="K266" s="20">
        <f t="shared" si="9"/>
        <v>20.136363636363654</v>
      </c>
      <c r="M266"/>
    </row>
    <row r="267" spans="1:13" x14ac:dyDescent="0.35">
      <c r="A267">
        <v>266</v>
      </c>
      <c r="B267" t="s">
        <v>503</v>
      </c>
      <c r="C267" t="s">
        <v>361</v>
      </c>
      <c r="D267">
        <v>1</v>
      </c>
      <c r="E267" t="s">
        <v>95</v>
      </c>
      <c r="F267" s="2">
        <v>45942</v>
      </c>
      <c r="G267" s="20">
        <v>292.20909090909089</v>
      </c>
      <c r="H267" s="20">
        <v>321.43</v>
      </c>
      <c r="I267" s="20">
        <v>327.37</v>
      </c>
      <c r="J267" s="20">
        <f t="shared" si="8"/>
        <v>29.220909090909117</v>
      </c>
      <c r="K267" s="20">
        <f t="shared" si="9"/>
        <v>29.220909090909117</v>
      </c>
      <c r="M267"/>
    </row>
    <row r="268" spans="1:13" x14ac:dyDescent="0.35">
      <c r="A268">
        <v>267</v>
      </c>
      <c r="B268" t="s">
        <v>504</v>
      </c>
      <c r="C268" t="s">
        <v>368</v>
      </c>
      <c r="D268">
        <v>5</v>
      </c>
      <c r="E268" t="s">
        <v>95</v>
      </c>
      <c r="F268" s="2">
        <v>45942</v>
      </c>
      <c r="G268" s="20">
        <v>203.89999999999998</v>
      </c>
      <c r="H268" s="20">
        <v>224.29</v>
      </c>
      <c r="I268" s="20">
        <v>1039.4000000000001</v>
      </c>
      <c r="J268" s="20">
        <f t="shared" si="8"/>
        <v>20.390000000000015</v>
      </c>
      <c r="K268" s="20">
        <f t="shared" si="9"/>
        <v>101.95000000000007</v>
      </c>
      <c r="M268"/>
    </row>
    <row r="269" spans="1:13" x14ac:dyDescent="0.35">
      <c r="A269">
        <v>268</v>
      </c>
      <c r="B269" t="s">
        <v>505</v>
      </c>
      <c r="C269" t="s">
        <v>1077</v>
      </c>
      <c r="D269">
        <v>1</v>
      </c>
      <c r="E269" t="s">
        <v>95</v>
      </c>
      <c r="F269" s="2">
        <v>45942</v>
      </c>
      <c r="G269" s="20">
        <v>506.49090909090904</v>
      </c>
      <c r="H269" s="20">
        <v>557.14</v>
      </c>
      <c r="I269" s="20">
        <v>567.45000000000005</v>
      </c>
      <c r="J269" s="20">
        <f t="shared" si="8"/>
        <v>50.649090909090944</v>
      </c>
      <c r="K269" s="20">
        <f t="shared" si="9"/>
        <v>50.649090909090944</v>
      </c>
      <c r="M269"/>
    </row>
    <row r="270" spans="1:13" x14ac:dyDescent="0.35">
      <c r="A270">
        <v>269</v>
      </c>
      <c r="B270" t="s">
        <v>506</v>
      </c>
      <c r="C270" t="s">
        <v>361</v>
      </c>
      <c r="D270">
        <v>1</v>
      </c>
      <c r="E270" t="s">
        <v>95</v>
      </c>
      <c r="F270" s="2">
        <v>45942</v>
      </c>
      <c r="G270" s="20">
        <v>180.58181818181816</v>
      </c>
      <c r="H270" s="20">
        <v>198.64</v>
      </c>
      <c r="I270" s="20">
        <v>227.36</v>
      </c>
      <c r="J270" s="20">
        <f t="shared" si="8"/>
        <v>18.058181818181822</v>
      </c>
      <c r="K270" s="20">
        <f t="shared" si="9"/>
        <v>18.058181818181822</v>
      </c>
      <c r="M270"/>
    </row>
    <row r="271" spans="1:13" x14ac:dyDescent="0.35">
      <c r="A271">
        <v>270</v>
      </c>
      <c r="B271" t="s">
        <v>507</v>
      </c>
      <c r="C271" t="s">
        <v>368</v>
      </c>
      <c r="D271">
        <v>1</v>
      </c>
      <c r="E271" t="s">
        <v>95</v>
      </c>
      <c r="F271" s="2">
        <v>45942</v>
      </c>
      <c r="G271" s="20">
        <v>110.93636363636362</v>
      </c>
      <c r="H271" s="20">
        <v>122.03</v>
      </c>
      <c r="I271" s="20">
        <v>124.29</v>
      </c>
      <c r="J271" s="20">
        <f t="shared" si="8"/>
        <v>11.093636363636378</v>
      </c>
      <c r="K271" s="20">
        <f t="shared" si="9"/>
        <v>11.093636363636378</v>
      </c>
      <c r="M271"/>
    </row>
    <row r="272" spans="1:13" x14ac:dyDescent="0.35">
      <c r="A272">
        <v>271</v>
      </c>
      <c r="B272" t="s">
        <v>508</v>
      </c>
      <c r="C272" t="s">
        <v>1076</v>
      </c>
      <c r="D272">
        <v>2</v>
      </c>
      <c r="E272" t="s">
        <v>95</v>
      </c>
      <c r="F272" s="2">
        <v>45942</v>
      </c>
      <c r="G272" s="20">
        <v>13.009090909090908</v>
      </c>
      <c r="H272" s="20">
        <v>14.31</v>
      </c>
      <c r="I272" s="20">
        <v>29.14</v>
      </c>
      <c r="J272" s="20">
        <f t="shared" si="8"/>
        <v>1.3009090909090926</v>
      </c>
      <c r="K272" s="20">
        <f t="shared" si="9"/>
        <v>2.6018181818181851</v>
      </c>
      <c r="M272"/>
    </row>
    <row r="273" spans="1:13" x14ac:dyDescent="0.35">
      <c r="A273">
        <v>272</v>
      </c>
      <c r="B273" t="s">
        <v>509</v>
      </c>
      <c r="C273" t="s">
        <v>365</v>
      </c>
      <c r="D273">
        <v>1</v>
      </c>
      <c r="E273" t="s">
        <v>95</v>
      </c>
      <c r="F273" s="2">
        <v>45942</v>
      </c>
      <c r="G273" s="20">
        <v>236.5545454545454</v>
      </c>
      <c r="H273" s="20">
        <v>260.20999999999998</v>
      </c>
      <c r="I273" s="20">
        <v>265.02</v>
      </c>
      <c r="J273" s="20">
        <f t="shared" si="8"/>
        <v>23.655454545454575</v>
      </c>
      <c r="K273" s="20">
        <f t="shared" si="9"/>
        <v>23.655454545454575</v>
      </c>
      <c r="M273"/>
    </row>
    <row r="274" spans="1:13" x14ac:dyDescent="0.35">
      <c r="A274">
        <v>273</v>
      </c>
      <c r="B274" t="s">
        <v>510</v>
      </c>
      <c r="C274" t="s">
        <v>1076</v>
      </c>
      <c r="D274">
        <v>1</v>
      </c>
      <c r="E274" t="s">
        <v>95</v>
      </c>
      <c r="F274" s="2">
        <v>45942</v>
      </c>
      <c r="G274" s="20">
        <v>166.96363636363634</v>
      </c>
      <c r="H274" s="20">
        <v>183.66</v>
      </c>
      <c r="I274" s="20">
        <v>187.05</v>
      </c>
      <c r="J274" s="20">
        <f t="shared" si="8"/>
        <v>16.696363636363657</v>
      </c>
      <c r="K274" s="20">
        <f t="shared" si="9"/>
        <v>16.696363636363657</v>
      </c>
      <c r="M274"/>
    </row>
    <row r="275" spans="1:13" x14ac:dyDescent="0.35">
      <c r="A275">
        <v>274</v>
      </c>
      <c r="B275" t="s">
        <v>511</v>
      </c>
      <c r="C275" t="s">
        <v>364</v>
      </c>
      <c r="D275">
        <v>2</v>
      </c>
      <c r="E275" t="s">
        <v>95</v>
      </c>
      <c r="F275" s="2">
        <v>45942</v>
      </c>
      <c r="G275" s="20">
        <v>60.645454545454534</v>
      </c>
      <c r="H275" s="20">
        <v>66.709999999999994</v>
      </c>
      <c r="I275" s="20">
        <v>135.9</v>
      </c>
      <c r="J275" s="20">
        <f t="shared" si="8"/>
        <v>6.0645454545454598</v>
      </c>
      <c r="K275" s="20">
        <f t="shared" si="9"/>
        <v>12.12909090909092</v>
      </c>
      <c r="M275"/>
    </row>
    <row r="276" spans="1:13" x14ac:dyDescent="0.35">
      <c r="A276">
        <v>275</v>
      </c>
      <c r="B276" t="s">
        <v>521</v>
      </c>
      <c r="C276" t="s">
        <v>361</v>
      </c>
      <c r="D276">
        <v>5</v>
      </c>
      <c r="E276" t="s">
        <v>141</v>
      </c>
      <c r="F276" s="2">
        <v>45942</v>
      </c>
      <c r="G276" s="20">
        <v>369.18181818181819</v>
      </c>
      <c r="H276" s="20">
        <v>406.1</v>
      </c>
      <c r="I276" s="20">
        <v>2324</v>
      </c>
      <c r="J276" s="20">
        <f t="shared" si="8"/>
        <v>36.918181818181836</v>
      </c>
      <c r="K276" s="20">
        <f t="shared" si="9"/>
        <v>184.59090909090918</v>
      </c>
      <c r="M276"/>
    </row>
    <row r="277" spans="1:13" x14ac:dyDescent="0.35">
      <c r="A277">
        <v>276</v>
      </c>
      <c r="B277" t="s">
        <v>523</v>
      </c>
      <c r="C277" t="s">
        <v>367</v>
      </c>
      <c r="D277">
        <v>3</v>
      </c>
      <c r="E277" t="s">
        <v>37</v>
      </c>
      <c r="F277" s="2">
        <v>45943</v>
      </c>
      <c r="G277" s="20">
        <v>45.172727272727265</v>
      </c>
      <c r="H277" s="20">
        <v>49.69</v>
      </c>
      <c r="I277" s="20">
        <v>151.80000000000001</v>
      </c>
      <c r="J277" s="20">
        <f t="shared" si="8"/>
        <v>4.5172727272727329</v>
      </c>
      <c r="K277" s="20">
        <f t="shared" si="9"/>
        <v>13.551818181818199</v>
      </c>
      <c r="M277"/>
    </row>
    <row r="278" spans="1:13" x14ac:dyDescent="0.35">
      <c r="A278">
        <v>277</v>
      </c>
      <c r="B278" t="s">
        <v>524</v>
      </c>
      <c r="C278" t="s">
        <v>369</v>
      </c>
      <c r="D278">
        <v>6</v>
      </c>
      <c r="E278" t="s">
        <v>37</v>
      </c>
      <c r="F278" s="2">
        <v>45943</v>
      </c>
      <c r="G278" s="20">
        <v>156.21818181818182</v>
      </c>
      <c r="H278" s="20">
        <v>171.84</v>
      </c>
      <c r="I278" s="20">
        <v>1050.0999999999999</v>
      </c>
      <c r="J278" s="20">
        <f t="shared" si="8"/>
        <v>15.621818181818185</v>
      </c>
      <c r="K278" s="20">
        <f t="shared" si="9"/>
        <v>93.730909090909108</v>
      </c>
      <c r="M278"/>
    </row>
    <row r="279" spans="1:13" x14ac:dyDescent="0.35">
      <c r="A279">
        <v>278</v>
      </c>
      <c r="B279" t="s">
        <v>525</v>
      </c>
      <c r="C279" t="s">
        <v>368</v>
      </c>
      <c r="D279">
        <v>1</v>
      </c>
      <c r="E279" t="s">
        <v>37</v>
      </c>
      <c r="F279" s="2">
        <v>45943</v>
      </c>
      <c r="G279" s="20">
        <v>84</v>
      </c>
      <c r="H279" s="20">
        <v>92.4</v>
      </c>
      <c r="I279" s="20">
        <v>94.1</v>
      </c>
      <c r="J279" s="20">
        <f t="shared" si="8"/>
        <v>8.4000000000000057</v>
      </c>
      <c r="K279" s="20">
        <f t="shared" si="9"/>
        <v>8.4000000000000057</v>
      </c>
      <c r="M279"/>
    </row>
    <row r="280" spans="1:13" x14ac:dyDescent="0.35">
      <c r="A280">
        <v>279</v>
      </c>
      <c r="B280" t="s">
        <v>526</v>
      </c>
      <c r="C280" t="s">
        <v>361</v>
      </c>
      <c r="D280">
        <v>1</v>
      </c>
      <c r="E280" t="s">
        <v>37</v>
      </c>
      <c r="F280" s="2">
        <v>45943</v>
      </c>
      <c r="G280" s="20">
        <v>426.49999999999994</v>
      </c>
      <c r="H280" s="20">
        <v>469.15</v>
      </c>
      <c r="I280" s="20">
        <v>537</v>
      </c>
      <c r="J280" s="20">
        <f t="shared" si="8"/>
        <v>42.650000000000034</v>
      </c>
      <c r="K280" s="20">
        <f t="shared" si="9"/>
        <v>42.650000000000034</v>
      </c>
      <c r="M280"/>
    </row>
    <row r="281" spans="1:13" x14ac:dyDescent="0.35">
      <c r="A281">
        <v>280</v>
      </c>
      <c r="B281" t="s">
        <v>527</v>
      </c>
      <c r="C281" t="s">
        <v>1077</v>
      </c>
      <c r="D281">
        <v>1</v>
      </c>
      <c r="E281" t="s">
        <v>37</v>
      </c>
      <c r="F281" s="2">
        <v>45943</v>
      </c>
      <c r="G281" s="20">
        <v>350.36363636363632</v>
      </c>
      <c r="H281" s="20">
        <v>385.4</v>
      </c>
      <c r="I281" s="20">
        <v>392</v>
      </c>
      <c r="J281" s="20">
        <f t="shared" si="8"/>
        <v>35.03636363636366</v>
      </c>
      <c r="K281" s="20">
        <f t="shared" si="9"/>
        <v>35.03636363636366</v>
      </c>
      <c r="M281"/>
    </row>
    <row r="282" spans="1:13" x14ac:dyDescent="0.35">
      <c r="A282">
        <v>281</v>
      </c>
      <c r="B282" t="s">
        <v>528</v>
      </c>
      <c r="C282" t="s">
        <v>361</v>
      </c>
      <c r="D282">
        <v>1</v>
      </c>
      <c r="E282" t="s">
        <v>37</v>
      </c>
      <c r="F282" s="2">
        <v>45943</v>
      </c>
      <c r="G282" s="20">
        <v>147.29999999999998</v>
      </c>
      <c r="H282" s="20">
        <v>162.03</v>
      </c>
      <c r="I282" s="20">
        <v>185.4</v>
      </c>
      <c r="J282" s="20">
        <f t="shared" si="8"/>
        <v>14.730000000000018</v>
      </c>
      <c r="K282" s="20">
        <f t="shared" si="9"/>
        <v>14.730000000000018</v>
      </c>
      <c r="M282"/>
    </row>
    <row r="283" spans="1:13" x14ac:dyDescent="0.35">
      <c r="A283">
        <v>282</v>
      </c>
      <c r="B283" t="s">
        <v>529</v>
      </c>
      <c r="C283" t="s">
        <v>367</v>
      </c>
      <c r="D283">
        <v>2</v>
      </c>
      <c r="E283" t="s">
        <v>37</v>
      </c>
      <c r="F283" s="2">
        <v>45943</v>
      </c>
      <c r="G283" s="20">
        <v>147.29999999999998</v>
      </c>
      <c r="H283" s="20">
        <v>162.03</v>
      </c>
      <c r="I283" s="20">
        <v>185.4</v>
      </c>
      <c r="J283" s="20">
        <f t="shared" si="8"/>
        <v>14.730000000000018</v>
      </c>
      <c r="K283" s="20">
        <f t="shared" si="9"/>
        <v>29.460000000000036</v>
      </c>
      <c r="M283"/>
    </row>
    <row r="284" spans="1:13" x14ac:dyDescent="0.35">
      <c r="A284">
        <v>283</v>
      </c>
      <c r="B284" t="s">
        <v>200</v>
      </c>
      <c r="C284" t="s">
        <v>368</v>
      </c>
      <c r="D284">
        <v>1</v>
      </c>
      <c r="E284" t="s">
        <v>37</v>
      </c>
      <c r="F284" s="2">
        <v>45943</v>
      </c>
      <c r="G284" s="20">
        <v>164.93636363636364</v>
      </c>
      <c r="H284" s="20">
        <v>181.43</v>
      </c>
      <c r="I284" s="20">
        <v>369.5</v>
      </c>
      <c r="J284" s="20">
        <f t="shared" si="8"/>
        <v>16.493636363636369</v>
      </c>
      <c r="K284" s="20">
        <f t="shared" si="9"/>
        <v>16.493636363636369</v>
      </c>
      <c r="M284"/>
    </row>
    <row r="285" spans="1:13" x14ac:dyDescent="0.35">
      <c r="A285">
        <v>284</v>
      </c>
      <c r="B285" t="s">
        <v>530</v>
      </c>
      <c r="C285" t="s">
        <v>367</v>
      </c>
      <c r="D285">
        <v>1</v>
      </c>
      <c r="E285" t="s">
        <v>37</v>
      </c>
      <c r="F285" s="2">
        <v>45943</v>
      </c>
      <c r="G285" s="20">
        <v>116.94545454545452</v>
      </c>
      <c r="H285" s="20">
        <v>128.63999999999999</v>
      </c>
      <c r="I285" s="20">
        <v>131</v>
      </c>
      <c r="J285" s="20">
        <f t="shared" si="8"/>
        <v>11.694545454545462</v>
      </c>
      <c r="K285" s="20">
        <f t="shared" si="9"/>
        <v>11.694545454545462</v>
      </c>
      <c r="M285"/>
    </row>
    <row r="286" spans="1:13" x14ac:dyDescent="0.35">
      <c r="A286">
        <v>285</v>
      </c>
      <c r="B286" t="s">
        <v>531</v>
      </c>
      <c r="C286" t="s">
        <v>368</v>
      </c>
      <c r="D286">
        <v>1</v>
      </c>
      <c r="E286" t="s">
        <v>37</v>
      </c>
      <c r="F286" s="2">
        <v>45943</v>
      </c>
      <c r="G286" s="20">
        <v>457.9</v>
      </c>
      <c r="H286" s="20">
        <v>503.69</v>
      </c>
      <c r="I286" s="20">
        <v>513</v>
      </c>
      <c r="J286" s="20">
        <f t="shared" si="8"/>
        <v>45.79000000000002</v>
      </c>
      <c r="K286" s="20">
        <f t="shared" si="9"/>
        <v>45.79000000000002</v>
      </c>
      <c r="M286"/>
    </row>
    <row r="287" spans="1:13" x14ac:dyDescent="0.35">
      <c r="A287">
        <v>286</v>
      </c>
      <c r="B287" t="s">
        <v>532</v>
      </c>
      <c r="C287" t="s">
        <v>364</v>
      </c>
      <c r="D287">
        <v>2</v>
      </c>
      <c r="E287" t="s">
        <v>37</v>
      </c>
      <c r="F287" s="2">
        <v>45943</v>
      </c>
      <c r="G287" s="20">
        <v>55.272727272727266</v>
      </c>
      <c r="H287" s="20">
        <v>60.8</v>
      </c>
      <c r="I287" s="20">
        <v>58.9</v>
      </c>
      <c r="J287" s="20">
        <f t="shared" si="8"/>
        <v>5.5272727272727309</v>
      </c>
      <c r="K287" s="20">
        <f t="shared" si="9"/>
        <v>11.054545454545462</v>
      </c>
      <c r="M287"/>
    </row>
    <row r="288" spans="1:13" x14ac:dyDescent="0.35">
      <c r="A288">
        <v>287</v>
      </c>
      <c r="B288" t="s">
        <v>533</v>
      </c>
      <c r="C288" t="s">
        <v>362</v>
      </c>
      <c r="D288">
        <v>3</v>
      </c>
      <c r="E288" t="s">
        <v>37</v>
      </c>
      <c r="F288" s="2">
        <v>45943</v>
      </c>
      <c r="G288" s="20">
        <v>198.79090909090905</v>
      </c>
      <c r="H288" s="20">
        <v>218.67</v>
      </c>
      <c r="I288" s="20">
        <v>445.4</v>
      </c>
      <c r="J288" s="20">
        <f t="shared" si="8"/>
        <v>19.879090909090934</v>
      </c>
      <c r="K288" s="20">
        <f t="shared" si="9"/>
        <v>59.637272727272801</v>
      </c>
      <c r="M288"/>
    </row>
    <row r="289" spans="1:13" x14ac:dyDescent="0.35">
      <c r="A289">
        <v>288</v>
      </c>
      <c r="B289" t="s">
        <v>546</v>
      </c>
      <c r="C289" t="s">
        <v>368</v>
      </c>
      <c r="D289">
        <v>1</v>
      </c>
      <c r="E289" t="s">
        <v>37</v>
      </c>
      <c r="F289" s="2">
        <v>45943</v>
      </c>
      <c r="G289" s="20">
        <v>10.8</v>
      </c>
      <c r="H289" s="20">
        <v>11.88</v>
      </c>
      <c r="I289" s="20">
        <v>36.200000000000003</v>
      </c>
      <c r="J289" s="20">
        <f t="shared" si="8"/>
        <v>1.08</v>
      </c>
      <c r="K289" s="20">
        <f t="shared" si="9"/>
        <v>1.08</v>
      </c>
      <c r="M289"/>
    </row>
    <row r="290" spans="1:13" x14ac:dyDescent="0.35">
      <c r="A290">
        <v>289</v>
      </c>
      <c r="B290" t="s">
        <v>547</v>
      </c>
      <c r="C290" t="s">
        <v>367</v>
      </c>
      <c r="D290">
        <v>5</v>
      </c>
      <c r="E290" t="s">
        <v>37</v>
      </c>
      <c r="F290" s="2">
        <v>45943</v>
      </c>
      <c r="G290" s="20">
        <v>48.727272727272727</v>
      </c>
      <c r="H290" s="20">
        <v>53.6</v>
      </c>
      <c r="I290" s="20">
        <v>51.99</v>
      </c>
      <c r="J290" s="20">
        <f t="shared" si="8"/>
        <v>4.8727272727272748</v>
      </c>
      <c r="K290" s="20">
        <f t="shared" si="9"/>
        <v>24.363636363636374</v>
      </c>
      <c r="M290"/>
    </row>
    <row r="291" spans="1:13" x14ac:dyDescent="0.35">
      <c r="A291">
        <v>290</v>
      </c>
      <c r="B291" t="s">
        <v>548</v>
      </c>
      <c r="C291" t="s">
        <v>367</v>
      </c>
      <c r="D291">
        <v>10</v>
      </c>
      <c r="E291" t="s">
        <v>37</v>
      </c>
      <c r="F291" s="2">
        <v>45943</v>
      </c>
      <c r="G291" s="20">
        <v>147.4909090909091</v>
      </c>
      <c r="H291" s="20">
        <v>162.24</v>
      </c>
      <c r="I291" s="20">
        <v>826.2</v>
      </c>
      <c r="J291" s="20">
        <f t="shared" si="8"/>
        <v>14.74909090909091</v>
      </c>
      <c r="K291" s="20">
        <f t="shared" si="9"/>
        <v>147.4909090909091</v>
      </c>
      <c r="M291"/>
    </row>
    <row r="292" spans="1:13" x14ac:dyDescent="0.35">
      <c r="A292">
        <v>291</v>
      </c>
      <c r="B292" t="s">
        <v>549</v>
      </c>
      <c r="C292" t="s">
        <v>365</v>
      </c>
      <c r="D292">
        <v>10</v>
      </c>
      <c r="E292" t="s">
        <v>37</v>
      </c>
      <c r="F292" s="2">
        <v>45943</v>
      </c>
      <c r="G292" s="20">
        <v>18.472727272727273</v>
      </c>
      <c r="H292" s="20">
        <v>20.32</v>
      </c>
      <c r="I292" s="20">
        <v>206.96</v>
      </c>
      <c r="J292" s="20">
        <f t="shared" si="8"/>
        <v>1.8472727272727276</v>
      </c>
      <c r="K292" s="20">
        <f t="shared" si="9"/>
        <v>18.472727272727276</v>
      </c>
      <c r="M292"/>
    </row>
    <row r="293" spans="1:13" x14ac:dyDescent="0.35">
      <c r="A293">
        <v>292</v>
      </c>
      <c r="B293" t="s">
        <v>550</v>
      </c>
      <c r="C293" t="s">
        <v>367</v>
      </c>
      <c r="D293">
        <v>12</v>
      </c>
      <c r="E293" t="s">
        <v>37</v>
      </c>
      <c r="F293" s="2">
        <v>45943</v>
      </c>
      <c r="G293" s="20">
        <v>115.1</v>
      </c>
      <c r="H293" s="20">
        <v>126.61</v>
      </c>
      <c r="I293" s="20">
        <v>1289.52</v>
      </c>
      <c r="J293" s="20">
        <f t="shared" si="8"/>
        <v>11.510000000000005</v>
      </c>
      <c r="K293" s="20">
        <f t="shared" si="9"/>
        <v>138.12000000000006</v>
      </c>
      <c r="M293"/>
    </row>
    <row r="294" spans="1:13" x14ac:dyDescent="0.35">
      <c r="A294">
        <v>293</v>
      </c>
      <c r="B294" t="s">
        <v>507</v>
      </c>
      <c r="C294" t="s">
        <v>368</v>
      </c>
      <c r="D294">
        <v>1</v>
      </c>
      <c r="E294" t="s">
        <v>37</v>
      </c>
      <c r="F294" s="2">
        <v>45943</v>
      </c>
      <c r="G294" s="20">
        <v>59.61818181818181</v>
      </c>
      <c r="H294" s="20">
        <v>65.58</v>
      </c>
      <c r="I294" s="20">
        <v>801.51</v>
      </c>
      <c r="J294" s="20">
        <f t="shared" si="8"/>
        <v>5.9618181818181881</v>
      </c>
      <c r="K294" s="20">
        <f t="shared" si="9"/>
        <v>5.9618181818181881</v>
      </c>
      <c r="M294"/>
    </row>
    <row r="295" spans="1:13" x14ac:dyDescent="0.35">
      <c r="A295">
        <v>294</v>
      </c>
      <c r="B295" t="s">
        <v>555</v>
      </c>
      <c r="C295" t="s">
        <v>361</v>
      </c>
      <c r="D295">
        <v>1</v>
      </c>
      <c r="E295" t="s">
        <v>131</v>
      </c>
      <c r="F295" s="2">
        <v>45943</v>
      </c>
      <c r="G295" s="20">
        <v>585.5181818181818</v>
      </c>
      <c r="H295" s="20">
        <v>644.07000000000005</v>
      </c>
      <c r="I295" s="20">
        <v>737.21</v>
      </c>
      <c r="J295" s="20">
        <f t="shared" si="8"/>
        <v>58.551818181818248</v>
      </c>
      <c r="K295" s="20">
        <f t="shared" si="9"/>
        <v>58.551818181818248</v>
      </c>
      <c r="M295"/>
    </row>
    <row r="296" spans="1:13" x14ac:dyDescent="0.35">
      <c r="A296">
        <v>295</v>
      </c>
      <c r="B296" t="s">
        <v>96</v>
      </c>
      <c r="C296" t="s">
        <v>359</v>
      </c>
      <c r="D296">
        <v>1</v>
      </c>
      <c r="E296" t="s">
        <v>131</v>
      </c>
      <c r="F296" s="2">
        <v>45943</v>
      </c>
      <c r="G296" s="20">
        <v>563.94545454545448</v>
      </c>
      <c r="H296" s="20">
        <v>620.34</v>
      </c>
      <c r="I296" s="20">
        <v>710.05</v>
      </c>
      <c r="J296" s="20">
        <f t="shared" si="8"/>
        <v>56.39454545454555</v>
      </c>
      <c r="K296" s="20">
        <f t="shared" si="9"/>
        <v>56.39454545454555</v>
      </c>
      <c r="M296"/>
    </row>
    <row r="297" spans="1:13" x14ac:dyDescent="0.35">
      <c r="A297">
        <v>296</v>
      </c>
      <c r="B297" t="s">
        <v>556</v>
      </c>
      <c r="C297" t="s">
        <v>359</v>
      </c>
      <c r="D297">
        <v>1</v>
      </c>
      <c r="E297" t="s">
        <v>131</v>
      </c>
      <c r="F297" s="2">
        <v>45943</v>
      </c>
      <c r="G297" s="20">
        <v>468.67272727272723</v>
      </c>
      <c r="H297" s="20">
        <v>515.54</v>
      </c>
      <c r="I297" s="20">
        <v>590.09</v>
      </c>
      <c r="J297" s="20">
        <f t="shared" si="8"/>
        <v>46.867272727272734</v>
      </c>
      <c r="K297" s="20">
        <f t="shared" si="9"/>
        <v>46.867272727272734</v>
      </c>
      <c r="M297"/>
    </row>
    <row r="298" spans="1:13" x14ac:dyDescent="0.35">
      <c r="A298">
        <v>297</v>
      </c>
      <c r="B298" t="s">
        <v>560</v>
      </c>
      <c r="C298" t="s">
        <v>361</v>
      </c>
      <c r="D298">
        <v>2</v>
      </c>
      <c r="E298" t="s">
        <v>95</v>
      </c>
      <c r="F298" s="2">
        <v>45944</v>
      </c>
      <c r="G298" s="20">
        <v>632.99999999999989</v>
      </c>
      <c r="H298" s="20">
        <v>696.3</v>
      </c>
      <c r="I298" s="20">
        <v>1418.36</v>
      </c>
      <c r="J298" s="20">
        <f t="shared" si="8"/>
        <v>63.300000000000068</v>
      </c>
      <c r="K298" s="20">
        <f t="shared" si="9"/>
        <v>126.60000000000014</v>
      </c>
      <c r="M298"/>
    </row>
    <row r="299" spans="1:13" x14ac:dyDescent="0.35">
      <c r="A299">
        <v>298</v>
      </c>
      <c r="B299" t="s">
        <v>561</v>
      </c>
      <c r="C299" t="s">
        <v>365</v>
      </c>
      <c r="D299">
        <v>2</v>
      </c>
      <c r="E299" t="s">
        <v>95</v>
      </c>
      <c r="F299" s="2">
        <v>45944</v>
      </c>
      <c r="G299" s="20">
        <v>110.39090909090909</v>
      </c>
      <c r="H299" s="20">
        <v>121.43</v>
      </c>
      <c r="I299" s="20">
        <v>247.35</v>
      </c>
      <c r="J299" s="20">
        <f t="shared" si="8"/>
        <v>11.039090909090916</v>
      </c>
      <c r="K299" s="20">
        <f t="shared" si="9"/>
        <v>22.078181818181832</v>
      </c>
      <c r="M299"/>
    </row>
    <row r="300" spans="1:13" x14ac:dyDescent="0.35">
      <c r="A300">
        <v>299</v>
      </c>
      <c r="B300" t="s">
        <v>562</v>
      </c>
      <c r="C300" t="s">
        <v>1077</v>
      </c>
      <c r="D300">
        <v>1</v>
      </c>
      <c r="E300" t="s">
        <v>95</v>
      </c>
      <c r="F300" s="2">
        <v>45944</v>
      </c>
      <c r="G300" s="20">
        <v>170.25454545454545</v>
      </c>
      <c r="H300" s="20">
        <v>187.28</v>
      </c>
      <c r="I300" s="20">
        <v>214.36</v>
      </c>
      <c r="J300" s="20">
        <f t="shared" si="8"/>
        <v>17.025454545454551</v>
      </c>
      <c r="K300" s="20">
        <f t="shared" si="9"/>
        <v>17.025454545454551</v>
      </c>
      <c r="M300"/>
    </row>
    <row r="301" spans="1:13" x14ac:dyDescent="0.35">
      <c r="A301">
        <v>300</v>
      </c>
      <c r="B301" t="s">
        <v>563</v>
      </c>
      <c r="C301" t="s">
        <v>1077</v>
      </c>
      <c r="D301">
        <v>1</v>
      </c>
      <c r="E301" t="s">
        <v>95</v>
      </c>
      <c r="F301" s="2">
        <v>45944</v>
      </c>
      <c r="G301" s="20">
        <v>551.94545454545448</v>
      </c>
      <c r="H301" s="20">
        <v>607.14</v>
      </c>
      <c r="I301" s="20">
        <v>618.37</v>
      </c>
      <c r="J301" s="20">
        <f t="shared" si="8"/>
        <v>55.194545454545505</v>
      </c>
      <c r="K301" s="20">
        <f t="shared" si="9"/>
        <v>55.194545454545505</v>
      </c>
      <c r="M301"/>
    </row>
    <row r="302" spans="1:13" x14ac:dyDescent="0.35">
      <c r="A302">
        <v>301</v>
      </c>
      <c r="B302" t="s">
        <v>564</v>
      </c>
      <c r="C302" t="s">
        <v>368</v>
      </c>
      <c r="D302">
        <v>1</v>
      </c>
      <c r="E302" t="s">
        <v>95</v>
      </c>
      <c r="F302" s="2">
        <v>45944</v>
      </c>
      <c r="G302" s="20">
        <v>127.86363636363636</v>
      </c>
      <c r="H302" s="20">
        <v>140.65</v>
      </c>
      <c r="I302" s="20">
        <v>143.25</v>
      </c>
      <c r="J302" s="20">
        <f t="shared" si="8"/>
        <v>12.786363636363646</v>
      </c>
      <c r="K302" s="20">
        <f t="shared" si="9"/>
        <v>12.786363636363646</v>
      </c>
      <c r="M302"/>
    </row>
    <row r="303" spans="1:13" x14ac:dyDescent="0.35">
      <c r="A303">
        <v>302</v>
      </c>
      <c r="B303" t="s">
        <v>565</v>
      </c>
      <c r="C303" t="s">
        <v>1076</v>
      </c>
      <c r="D303">
        <v>1</v>
      </c>
      <c r="E303" t="s">
        <v>95</v>
      </c>
      <c r="F303" s="2">
        <v>45944</v>
      </c>
      <c r="G303" s="20">
        <v>211.0363636363636</v>
      </c>
      <c r="H303" s="20">
        <v>232.14</v>
      </c>
      <c r="I303" s="20">
        <v>236.44</v>
      </c>
      <c r="J303" s="20">
        <f t="shared" si="8"/>
        <v>21.103636363636383</v>
      </c>
      <c r="K303" s="20">
        <f t="shared" si="9"/>
        <v>21.103636363636383</v>
      </c>
      <c r="M303"/>
    </row>
    <row r="304" spans="1:13" x14ac:dyDescent="0.35">
      <c r="A304">
        <v>303</v>
      </c>
      <c r="B304" t="s">
        <v>571</v>
      </c>
      <c r="C304" t="s">
        <v>368</v>
      </c>
      <c r="D304">
        <v>3</v>
      </c>
      <c r="E304" t="s">
        <v>131</v>
      </c>
      <c r="F304" s="2">
        <v>45944</v>
      </c>
      <c r="G304" s="20">
        <v>90.272727272727266</v>
      </c>
      <c r="H304" s="20">
        <v>99.3</v>
      </c>
      <c r="I304" s="20">
        <v>303.39999999999998</v>
      </c>
      <c r="J304" s="20">
        <f t="shared" si="8"/>
        <v>9.0272727272727309</v>
      </c>
      <c r="K304" s="20">
        <f t="shared" si="9"/>
        <v>27.081818181818193</v>
      </c>
      <c r="M304"/>
    </row>
    <row r="305" spans="1:13" x14ac:dyDescent="0.35">
      <c r="A305">
        <v>304</v>
      </c>
      <c r="B305" t="s">
        <v>572</v>
      </c>
      <c r="C305" t="s">
        <v>367</v>
      </c>
      <c r="D305">
        <v>3</v>
      </c>
      <c r="E305" t="s">
        <v>131</v>
      </c>
      <c r="F305" s="2">
        <v>45944</v>
      </c>
      <c r="G305" s="20">
        <v>38.54545454545454</v>
      </c>
      <c r="H305" s="20">
        <v>42.4</v>
      </c>
      <c r="I305" s="20">
        <v>129.54</v>
      </c>
      <c r="J305" s="20">
        <f t="shared" si="8"/>
        <v>3.8545454545454589</v>
      </c>
      <c r="K305" s="20">
        <f t="shared" si="9"/>
        <v>11.563636363636377</v>
      </c>
      <c r="M305"/>
    </row>
    <row r="306" spans="1:13" x14ac:dyDescent="0.35">
      <c r="A306">
        <v>305</v>
      </c>
      <c r="B306" t="s">
        <v>573</v>
      </c>
      <c r="C306" t="s">
        <v>368</v>
      </c>
      <c r="D306">
        <v>1</v>
      </c>
      <c r="E306" t="s">
        <v>131</v>
      </c>
      <c r="F306" s="2">
        <v>45944</v>
      </c>
      <c r="G306" s="20">
        <v>77.918181818181807</v>
      </c>
      <c r="H306" s="20">
        <v>85.71</v>
      </c>
      <c r="I306" s="20">
        <v>87.3</v>
      </c>
      <c r="J306" s="20">
        <f t="shared" si="8"/>
        <v>7.7918181818181864</v>
      </c>
      <c r="K306" s="20">
        <f t="shared" si="9"/>
        <v>7.7918181818181864</v>
      </c>
      <c r="M306"/>
    </row>
    <row r="307" spans="1:13" x14ac:dyDescent="0.35">
      <c r="A307">
        <v>306</v>
      </c>
      <c r="B307" t="s">
        <v>151</v>
      </c>
      <c r="C307" t="s">
        <v>1076</v>
      </c>
      <c r="D307">
        <v>4</v>
      </c>
      <c r="E307" t="s">
        <v>131</v>
      </c>
      <c r="F307" s="2">
        <v>45944</v>
      </c>
      <c r="G307" s="20">
        <v>238</v>
      </c>
      <c r="H307" s="20">
        <v>261.8</v>
      </c>
      <c r="I307" s="20">
        <v>1066.56</v>
      </c>
      <c r="J307" s="20">
        <f t="shared" si="8"/>
        <v>23.800000000000011</v>
      </c>
      <c r="K307" s="20">
        <f t="shared" si="9"/>
        <v>95.200000000000045</v>
      </c>
      <c r="M307"/>
    </row>
    <row r="308" spans="1:13" x14ac:dyDescent="0.35">
      <c r="A308">
        <v>307</v>
      </c>
      <c r="B308" t="s">
        <v>574</v>
      </c>
      <c r="C308" t="s">
        <v>361</v>
      </c>
      <c r="D308">
        <v>1</v>
      </c>
      <c r="E308" t="s">
        <v>131</v>
      </c>
      <c r="F308" s="2">
        <v>45944</v>
      </c>
      <c r="G308" s="20">
        <v>1085.1363636363637</v>
      </c>
      <c r="H308" s="20">
        <v>1193.6500000000001</v>
      </c>
      <c r="I308" s="20">
        <v>1366.26</v>
      </c>
      <c r="J308" s="20">
        <f t="shared" si="8"/>
        <v>108.51363636363635</v>
      </c>
      <c r="K308" s="20">
        <f t="shared" si="9"/>
        <v>108.51363636363635</v>
      </c>
      <c r="M308"/>
    </row>
    <row r="309" spans="1:13" x14ac:dyDescent="0.35">
      <c r="A309">
        <v>308</v>
      </c>
      <c r="B309" t="s">
        <v>578</v>
      </c>
      <c r="C309" t="s">
        <v>1076</v>
      </c>
      <c r="D309">
        <v>2</v>
      </c>
      <c r="E309" t="s">
        <v>131</v>
      </c>
      <c r="F309" s="2">
        <v>45944</v>
      </c>
      <c r="G309" s="20">
        <v>45.354545454545452</v>
      </c>
      <c r="H309" s="20">
        <v>49.89</v>
      </c>
      <c r="I309" s="20">
        <v>52.39</v>
      </c>
      <c r="J309" s="20">
        <f t="shared" si="8"/>
        <v>4.5354545454545487</v>
      </c>
      <c r="K309" s="20">
        <f t="shared" si="9"/>
        <v>9.0709090909090975</v>
      </c>
      <c r="M309"/>
    </row>
    <row r="310" spans="1:13" x14ac:dyDescent="0.35">
      <c r="A310">
        <v>309</v>
      </c>
      <c r="B310" t="s">
        <v>579</v>
      </c>
      <c r="C310" t="s">
        <v>364</v>
      </c>
      <c r="D310">
        <v>2</v>
      </c>
      <c r="E310" t="s">
        <v>131</v>
      </c>
      <c r="F310" s="2">
        <v>45944</v>
      </c>
      <c r="G310" s="20">
        <v>111.98181818181818</v>
      </c>
      <c r="H310" s="20">
        <v>123.18</v>
      </c>
      <c r="I310" s="20">
        <v>250.91</v>
      </c>
      <c r="J310" s="20">
        <f t="shared" si="8"/>
        <v>11.198181818181823</v>
      </c>
      <c r="K310" s="20">
        <f t="shared" si="9"/>
        <v>22.396363636363645</v>
      </c>
      <c r="M310"/>
    </row>
    <row r="311" spans="1:13" x14ac:dyDescent="0.35">
      <c r="A311">
        <v>310</v>
      </c>
      <c r="B311" t="s">
        <v>241</v>
      </c>
      <c r="C311" t="s">
        <v>1075</v>
      </c>
      <c r="D311">
        <v>1</v>
      </c>
      <c r="E311" t="s">
        <v>131</v>
      </c>
      <c r="F311" s="2">
        <v>45944</v>
      </c>
      <c r="G311" s="20">
        <v>308.44545454545499</v>
      </c>
      <c r="H311" s="20">
        <v>339.29</v>
      </c>
      <c r="I311" s="20">
        <v>345.57</v>
      </c>
      <c r="J311" s="20">
        <f t="shared" si="8"/>
        <v>30.844545454545027</v>
      </c>
      <c r="K311" s="20">
        <f t="shared" si="9"/>
        <v>30.844545454545027</v>
      </c>
      <c r="M311"/>
    </row>
    <row r="312" spans="1:13" x14ac:dyDescent="0.35">
      <c r="A312">
        <v>311</v>
      </c>
      <c r="B312" t="s">
        <v>580</v>
      </c>
      <c r="C312" t="s">
        <v>369</v>
      </c>
      <c r="D312">
        <v>1</v>
      </c>
      <c r="E312" t="s">
        <v>131</v>
      </c>
      <c r="F312" s="2">
        <v>45944</v>
      </c>
      <c r="G312" s="20">
        <v>97.399999999999991</v>
      </c>
      <c r="H312" s="20">
        <v>107.14</v>
      </c>
      <c r="I312" s="20">
        <v>109.13</v>
      </c>
      <c r="J312" s="20">
        <f t="shared" si="8"/>
        <v>9.7400000000000091</v>
      </c>
      <c r="K312" s="20">
        <f t="shared" si="9"/>
        <v>9.7400000000000091</v>
      </c>
      <c r="M312"/>
    </row>
    <row r="313" spans="1:13" x14ac:dyDescent="0.35">
      <c r="A313">
        <v>312</v>
      </c>
      <c r="B313" t="s">
        <v>581</v>
      </c>
      <c r="C313" t="s">
        <v>368</v>
      </c>
      <c r="D313">
        <v>1</v>
      </c>
      <c r="E313" t="s">
        <v>131</v>
      </c>
      <c r="F313" s="2">
        <v>45944</v>
      </c>
      <c r="G313" s="20">
        <v>127.42727272727271</v>
      </c>
      <c r="H313" s="20">
        <v>140.16999999999999</v>
      </c>
      <c r="I313" s="20">
        <v>142.76</v>
      </c>
      <c r="J313" s="20">
        <f t="shared" si="8"/>
        <v>12.742727272727279</v>
      </c>
      <c r="K313" s="20">
        <f t="shared" si="9"/>
        <v>12.742727272727279</v>
      </c>
      <c r="M313"/>
    </row>
    <row r="314" spans="1:13" x14ac:dyDescent="0.35">
      <c r="A314">
        <v>313</v>
      </c>
      <c r="B314" t="s">
        <v>582</v>
      </c>
      <c r="C314" t="s">
        <v>366</v>
      </c>
      <c r="D314">
        <v>3</v>
      </c>
      <c r="E314" t="s">
        <v>131</v>
      </c>
      <c r="F314" s="2">
        <v>45944</v>
      </c>
      <c r="G314" s="20">
        <v>25.818181818181817</v>
      </c>
      <c r="H314" s="20">
        <v>28.4</v>
      </c>
      <c r="I314" s="20">
        <v>89.46</v>
      </c>
      <c r="J314" s="20">
        <f t="shared" si="8"/>
        <v>2.581818181818182</v>
      </c>
      <c r="K314" s="20">
        <f t="shared" si="9"/>
        <v>7.745454545454546</v>
      </c>
      <c r="M314"/>
    </row>
    <row r="315" spans="1:13" x14ac:dyDescent="0.35">
      <c r="A315">
        <v>314</v>
      </c>
      <c r="B315" t="s">
        <v>583</v>
      </c>
      <c r="C315" t="s">
        <v>362</v>
      </c>
      <c r="D315">
        <v>38</v>
      </c>
      <c r="E315" t="s">
        <v>131</v>
      </c>
      <c r="F315" s="2">
        <v>45944</v>
      </c>
      <c r="G315" s="20">
        <v>21.499999999999996</v>
      </c>
      <c r="H315" s="20">
        <v>23.65</v>
      </c>
      <c r="I315" s="20">
        <v>943.64</v>
      </c>
      <c r="J315" s="20">
        <f t="shared" si="8"/>
        <v>2.1500000000000021</v>
      </c>
      <c r="K315" s="20">
        <f t="shared" si="9"/>
        <v>81.700000000000074</v>
      </c>
      <c r="M315"/>
    </row>
    <row r="316" spans="1:13" x14ac:dyDescent="0.35">
      <c r="A316">
        <v>315</v>
      </c>
      <c r="B316" t="s">
        <v>588</v>
      </c>
      <c r="C316" t="s">
        <v>368</v>
      </c>
      <c r="D316">
        <v>1</v>
      </c>
      <c r="E316" t="s">
        <v>131</v>
      </c>
      <c r="F316" s="2">
        <v>45945</v>
      </c>
      <c r="G316" s="20">
        <v>78.972727272727269</v>
      </c>
      <c r="H316" s="20">
        <v>86.87</v>
      </c>
      <c r="I316" s="20">
        <v>88.43</v>
      </c>
      <c r="J316" s="20">
        <f t="shared" si="8"/>
        <v>7.8972727272727354</v>
      </c>
      <c r="K316" s="20">
        <f t="shared" si="9"/>
        <v>7.8972727272727354</v>
      </c>
      <c r="M316"/>
    </row>
    <row r="317" spans="1:13" x14ac:dyDescent="0.35">
      <c r="A317">
        <v>316</v>
      </c>
      <c r="B317" t="s">
        <v>590</v>
      </c>
      <c r="C317" t="s">
        <v>361</v>
      </c>
      <c r="D317">
        <v>2</v>
      </c>
      <c r="E317" t="s">
        <v>594</v>
      </c>
      <c r="F317" s="2">
        <v>45945</v>
      </c>
      <c r="G317" s="20">
        <v>202.24545454545452</v>
      </c>
      <c r="H317" s="20">
        <v>222.47</v>
      </c>
      <c r="I317" s="20">
        <v>4894.34</v>
      </c>
      <c r="J317" s="20">
        <f t="shared" si="8"/>
        <v>20.224545454545478</v>
      </c>
      <c r="K317" s="20">
        <f t="shared" si="9"/>
        <v>40.449090909090955</v>
      </c>
      <c r="M317"/>
    </row>
    <row r="318" spans="1:13" x14ac:dyDescent="0.35">
      <c r="A318">
        <v>317</v>
      </c>
      <c r="B318" t="s">
        <v>591</v>
      </c>
      <c r="C318" t="s">
        <v>361</v>
      </c>
      <c r="D318">
        <v>5</v>
      </c>
      <c r="E318" t="s">
        <v>594</v>
      </c>
      <c r="F318" s="2">
        <v>45945</v>
      </c>
      <c r="G318" s="20">
        <v>78.272727272727266</v>
      </c>
      <c r="H318" s="20">
        <v>86.1</v>
      </c>
      <c r="I318" s="20">
        <v>4375.5</v>
      </c>
      <c r="J318" s="20">
        <f t="shared" si="8"/>
        <v>7.827272727272728</v>
      </c>
      <c r="K318" s="20">
        <f t="shared" si="9"/>
        <v>39.13636363636364</v>
      </c>
      <c r="M318"/>
    </row>
    <row r="319" spans="1:13" x14ac:dyDescent="0.35">
      <c r="A319">
        <v>318</v>
      </c>
      <c r="B319" t="s">
        <v>592</v>
      </c>
      <c r="C319" t="s">
        <v>365</v>
      </c>
      <c r="D319">
        <v>2</v>
      </c>
      <c r="E319" t="s">
        <v>594</v>
      </c>
      <c r="F319" s="2">
        <v>45945</v>
      </c>
      <c r="G319" s="20">
        <v>187.0090909090909</v>
      </c>
      <c r="H319" s="20">
        <v>205.71</v>
      </c>
      <c r="I319" s="20">
        <v>4525.62</v>
      </c>
      <c r="J319" s="20">
        <f t="shared" si="8"/>
        <v>18.700909090909107</v>
      </c>
      <c r="K319" s="20">
        <f t="shared" si="9"/>
        <v>37.401818181818214</v>
      </c>
      <c r="M319"/>
    </row>
    <row r="320" spans="1:13" x14ac:dyDescent="0.35">
      <c r="A320">
        <v>319</v>
      </c>
      <c r="B320" t="s">
        <v>595</v>
      </c>
      <c r="C320" t="s">
        <v>360</v>
      </c>
      <c r="D320">
        <v>1</v>
      </c>
      <c r="E320" t="s">
        <v>602</v>
      </c>
      <c r="F320" s="2">
        <v>45945</v>
      </c>
      <c r="G320" s="20">
        <v>357.14545454545453</v>
      </c>
      <c r="H320" s="20">
        <v>392.86</v>
      </c>
      <c r="I320" s="20">
        <v>400.12</v>
      </c>
      <c r="J320" s="20">
        <f t="shared" si="8"/>
        <v>35.714545454545487</v>
      </c>
      <c r="K320" s="20">
        <f t="shared" si="9"/>
        <v>35.714545454545487</v>
      </c>
      <c r="M320"/>
    </row>
    <row r="321" spans="1:13" x14ac:dyDescent="0.35">
      <c r="A321">
        <v>320</v>
      </c>
      <c r="B321" t="s">
        <v>596</v>
      </c>
      <c r="C321" t="s">
        <v>1076</v>
      </c>
      <c r="D321">
        <v>2</v>
      </c>
      <c r="E321" t="s">
        <v>602</v>
      </c>
      <c r="F321" s="2">
        <v>45945</v>
      </c>
      <c r="G321" s="20">
        <v>27.054545454545455</v>
      </c>
      <c r="H321" s="20">
        <v>29.76</v>
      </c>
      <c r="I321" s="20">
        <v>60.62</v>
      </c>
      <c r="J321" s="20">
        <f t="shared" si="8"/>
        <v>2.7054545454545469</v>
      </c>
      <c r="K321" s="20">
        <f t="shared" si="9"/>
        <v>5.4109090909090938</v>
      </c>
      <c r="M321"/>
    </row>
    <row r="322" spans="1:13" x14ac:dyDescent="0.35">
      <c r="A322">
        <v>321</v>
      </c>
      <c r="B322" t="s">
        <v>597</v>
      </c>
      <c r="C322" t="s">
        <v>366</v>
      </c>
      <c r="D322">
        <v>1</v>
      </c>
      <c r="E322" t="s">
        <v>602</v>
      </c>
      <c r="F322" s="2">
        <v>45945</v>
      </c>
      <c r="G322" s="20">
        <v>124.34545454545453</v>
      </c>
      <c r="H322" s="20">
        <v>136.78</v>
      </c>
      <c r="I322" s="20">
        <v>139.32</v>
      </c>
      <c r="J322" s="20">
        <f t="shared" ref="J322:J385" si="10">H322-G322</f>
        <v>12.434545454545471</v>
      </c>
      <c r="K322" s="20">
        <f t="shared" ref="K322:K385" si="11">J322*D322</f>
        <v>12.434545454545471</v>
      </c>
      <c r="M322"/>
    </row>
    <row r="323" spans="1:13" x14ac:dyDescent="0.35">
      <c r="A323">
        <v>322</v>
      </c>
      <c r="B323" t="s">
        <v>398</v>
      </c>
      <c r="C323" t="s">
        <v>368</v>
      </c>
      <c r="D323">
        <v>6</v>
      </c>
      <c r="E323" t="s">
        <v>602</v>
      </c>
      <c r="F323" s="2">
        <v>45945</v>
      </c>
      <c r="G323" s="20">
        <v>252.70000000000002</v>
      </c>
      <c r="H323" s="20">
        <v>277.97000000000003</v>
      </c>
      <c r="I323" s="20">
        <v>1415.69</v>
      </c>
      <c r="J323" s="20">
        <f t="shared" si="10"/>
        <v>25.27000000000001</v>
      </c>
      <c r="K323" s="20">
        <f t="shared" si="11"/>
        <v>151.62000000000006</v>
      </c>
      <c r="M323"/>
    </row>
    <row r="324" spans="1:13" x14ac:dyDescent="0.35">
      <c r="A324">
        <v>323</v>
      </c>
      <c r="B324" t="s">
        <v>598</v>
      </c>
      <c r="C324" t="s">
        <v>1075</v>
      </c>
      <c r="D324">
        <v>1</v>
      </c>
      <c r="E324" t="s">
        <v>602</v>
      </c>
      <c r="F324" s="2">
        <v>45945</v>
      </c>
      <c r="G324" s="20">
        <v>126.62727272727271</v>
      </c>
      <c r="H324" s="20">
        <v>139.29</v>
      </c>
      <c r="I324" s="20">
        <v>141.85</v>
      </c>
      <c r="J324" s="20">
        <f t="shared" si="10"/>
        <v>12.662727272727281</v>
      </c>
      <c r="K324" s="20">
        <f t="shared" si="11"/>
        <v>12.662727272727281</v>
      </c>
      <c r="M324"/>
    </row>
    <row r="325" spans="1:13" x14ac:dyDescent="0.35">
      <c r="A325">
        <v>324</v>
      </c>
      <c r="B325" t="s">
        <v>603</v>
      </c>
      <c r="C325" t="s">
        <v>361</v>
      </c>
      <c r="D325">
        <v>10</v>
      </c>
      <c r="E325" t="s">
        <v>605</v>
      </c>
      <c r="F325" s="2">
        <v>45946</v>
      </c>
      <c r="G325" s="20">
        <v>951.5454545454545</v>
      </c>
      <c r="H325" s="20">
        <v>1046.7</v>
      </c>
      <c r="I325" s="20">
        <v>12351</v>
      </c>
      <c r="J325" s="20">
        <f t="shared" si="10"/>
        <v>95.154545454545541</v>
      </c>
      <c r="K325" s="20">
        <f t="shared" si="11"/>
        <v>951.54545454545541</v>
      </c>
      <c r="M325"/>
    </row>
    <row r="326" spans="1:13" x14ac:dyDescent="0.35">
      <c r="A326">
        <v>325</v>
      </c>
      <c r="B326" t="s">
        <v>606</v>
      </c>
      <c r="C326" t="s">
        <v>1076</v>
      </c>
      <c r="D326">
        <v>5</v>
      </c>
      <c r="E326" t="s">
        <v>605</v>
      </c>
      <c r="F326" s="2">
        <v>45946</v>
      </c>
      <c r="G326" s="20">
        <v>373.99999999999994</v>
      </c>
      <c r="H326" s="20">
        <v>411.4</v>
      </c>
      <c r="I326" s="20">
        <v>2057</v>
      </c>
      <c r="J326" s="20">
        <f t="shared" si="10"/>
        <v>37.400000000000034</v>
      </c>
      <c r="K326" s="20">
        <f t="shared" si="11"/>
        <v>187.00000000000017</v>
      </c>
      <c r="M326"/>
    </row>
    <row r="327" spans="1:13" x14ac:dyDescent="0.35">
      <c r="A327">
        <v>326</v>
      </c>
      <c r="B327" t="s">
        <v>607</v>
      </c>
      <c r="C327" t="s">
        <v>361</v>
      </c>
      <c r="D327">
        <v>5</v>
      </c>
      <c r="E327" t="s">
        <v>605</v>
      </c>
      <c r="F327" s="2">
        <v>45946</v>
      </c>
      <c r="G327" s="20">
        <v>588.69090909090903</v>
      </c>
      <c r="H327" s="20">
        <v>647.55999999999995</v>
      </c>
      <c r="I327" s="20">
        <v>3237.8</v>
      </c>
      <c r="J327" s="20">
        <f t="shared" si="10"/>
        <v>58.869090909090914</v>
      </c>
      <c r="K327" s="20">
        <f t="shared" si="11"/>
        <v>294.34545454545457</v>
      </c>
      <c r="M327"/>
    </row>
    <row r="328" spans="1:13" x14ac:dyDescent="0.35">
      <c r="A328">
        <v>327</v>
      </c>
      <c r="B328" t="s">
        <v>305</v>
      </c>
      <c r="C328" t="s">
        <v>1076</v>
      </c>
      <c r="D328">
        <v>5</v>
      </c>
      <c r="E328" t="s">
        <v>605</v>
      </c>
      <c r="F328" s="2">
        <v>45946</v>
      </c>
      <c r="G328" s="20">
        <v>373.99999999999994</v>
      </c>
      <c r="H328" s="20">
        <v>411.4</v>
      </c>
      <c r="I328" s="20">
        <v>2047</v>
      </c>
      <c r="J328" s="20">
        <f t="shared" si="10"/>
        <v>37.400000000000034</v>
      </c>
      <c r="K328" s="20">
        <f t="shared" si="11"/>
        <v>187.00000000000017</v>
      </c>
      <c r="M328"/>
    </row>
    <row r="329" spans="1:13" x14ac:dyDescent="0.35">
      <c r="A329">
        <v>328</v>
      </c>
      <c r="B329" t="s">
        <v>608</v>
      </c>
      <c r="C329" t="s">
        <v>1076</v>
      </c>
      <c r="D329">
        <v>10</v>
      </c>
      <c r="E329" t="s">
        <v>605</v>
      </c>
      <c r="F329" s="2">
        <v>45946</v>
      </c>
      <c r="G329" s="20">
        <v>193.79999999999998</v>
      </c>
      <c r="H329" s="20">
        <v>213.18</v>
      </c>
      <c r="I329" s="20">
        <v>2131</v>
      </c>
      <c r="J329" s="20">
        <f t="shared" si="10"/>
        <v>19.380000000000024</v>
      </c>
      <c r="K329" s="20">
        <f t="shared" si="11"/>
        <v>193.80000000000024</v>
      </c>
      <c r="M329"/>
    </row>
    <row r="330" spans="1:13" x14ac:dyDescent="0.35">
      <c r="A330">
        <v>329</v>
      </c>
      <c r="B330" t="s">
        <v>322</v>
      </c>
      <c r="C330" t="s">
        <v>1076</v>
      </c>
      <c r="D330">
        <v>5</v>
      </c>
      <c r="E330" t="s">
        <v>605</v>
      </c>
      <c r="F330" s="2">
        <v>45946</v>
      </c>
      <c r="G330" s="20">
        <v>306</v>
      </c>
      <c r="H330" s="20">
        <v>336.6</v>
      </c>
      <c r="I330" s="20">
        <v>1683</v>
      </c>
      <c r="J330" s="20">
        <f t="shared" si="10"/>
        <v>30.600000000000023</v>
      </c>
      <c r="K330" s="20">
        <f t="shared" si="11"/>
        <v>153.00000000000011</v>
      </c>
      <c r="M330"/>
    </row>
    <row r="331" spans="1:13" x14ac:dyDescent="0.35">
      <c r="A331">
        <v>330</v>
      </c>
      <c r="B331" t="s">
        <v>151</v>
      </c>
      <c r="C331" t="s">
        <v>1076</v>
      </c>
      <c r="D331">
        <v>5</v>
      </c>
      <c r="E331" t="s">
        <v>605</v>
      </c>
      <c r="F331" s="2">
        <v>45946</v>
      </c>
      <c r="G331" s="20">
        <v>238</v>
      </c>
      <c r="H331" s="20">
        <v>261.8</v>
      </c>
      <c r="I331" s="20">
        <v>1309</v>
      </c>
      <c r="J331" s="20">
        <f t="shared" si="10"/>
        <v>23.800000000000011</v>
      </c>
      <c r="K331" s="20">
        <f t="shared" si="11"/>
        <v>119.00000000000006</v>
      </c>
      <c r="M331"/>
    </row>
    <row r="332" spans="1:13" x14ac:dyDescent="0.35">
      <c r="A332">
        <v>331</v>
      </c>
      <c r="B332" t="s">
        <v>609</v>
      </c>
      <c r="C332" t="s">
        <v>368</v>
      </c>
      <c r="D332">
        <v>5</v>
      </c>
      <c r="E332" t="s">
        <v>605</v>
      </c>
      <c r="F332" s="2">
        <v>45946</v>
      </c>
      <c r="G332" s="20">
        <v>538.59090909090912</v>
      </c>
      <c r="H332" s="20">
        <v>592.45000000000005</v>
      </c>
      <c r="I332" s="20">
        <v>2962.25</v>
      </c>
      <c r="J332" s="20">
        <f t="shared" si="10"/>
        <v>53.859090909090924</v>
      </c>
      <c r="K332" s="20">
        <f t="shared" si="11"/>
        <v>269.29545454545462</v>
      </c>
      <c r="M332"/>
    </row>
    <row r="333" spans="1:13" x14ac:dyDescent="0.35">
      <c r="A333">
        <v>332</v>
      </c>
      <c r="B333" t="s">
        <v>610</v>
      </c>
      <c r="C333" t="s">
        <v>359</v>
      </c>
      <c r="D333">
        <v>5</v>
      </c>
      <c r="E333" t="s">
        <v>605</v>
      </c>
      <c r="F333" s="2">
        <v>45946</v>
      </c>
      <c r="G333" s="20">
        <v>601.95454545454538</v>
      </c>
      <c r="H333" s="20">
        <v>662.15</v>
      </c>
      <c r="I333" s="20">
        <v>3310.75</v>
      </c>
      <c r="J333" s="20">
        <f t="shared" si="10"/>
        <v>60.195454545454595</v>
      </c>
      <c r="K333" s="20">
        <f t="shared" si="11"/>
        <v>300.97727272727298</v>
      </c>
      <c r="M333"/>
    </row>
    <row r="334" spans="1:13" x14ac:dyDescent="0.35">
      <c r="A334">
        <v>333</v>
      </c>
      <c r="B334" t="s">
        <v>617</v>
      </c>
      <c r="C334" t="s">
        <v>361</v>
      </c>
      <c r="D334">
        <v>10</v>
      </c>
      <c r="E334" t="s">
        <v>605</v>
      </c>
      <c r="F334" s="2">
        <v>45946</v>
      </c>
      <c r="G334" s="20">
        <v>395.5</v>
      </c>
      <c r="H334" s="20">
        <v>435.05</v>
      </c>
      <c r="I334" s="20">
        <v>4530.5</v>
      </c>
      <c r="J334" s="20">
        <f t="shared" si="10"/>
        <v>39.550000000000011</v>
      </c>
      <c r="K334" s="20">
        <f t="shared" si="11"/>
        <v>395.50000000000011</v>
      </c>
      <c r="M334"/>
    </row>
    <row r="335" spans="1:13" x14ac:dyDescent="0.35">
      <c r="A335">
        <v>334</v>
      </c>
      <c r="B335" t="s">
        <v>151</v>
      </c>
      <c r="C335" t="s">
        <v>1076</v>
      </c>
      <c r="D335">
        <v>10</v>
      </c>
      <c r="E335" t="s">
        <v>605</v>
      </c>
      <c r="F335" s="2">
        <v>45946</v>
      </c>
      <c r="G335" s="20">
        <v>238</v>
      </c>
      <c r="H335" s="20">
        <v>261.8</v>
      </c>
      <c r="I335" s="20">
        <v>2618</v>
      </c>
      <c r="J335" s="20">
        <f t="shared" si="10"/>
        <v>23.800000000000011</v>
      </c>
      <c r="K335" s="20">
        <f t="shared" si="11"/>
        <v>238.00000000000011</v>
      </c>
      <c r="M335"/>
    </row>
    <row r="336" spans="1:13" x14ac:dyDescent="0.35">
      <c r="A336">
        <v>335</v>
      </c>
      <c r="B336" t="s">
        <v>619</v>
      </c>
      <c r="C336" t="s">
        <v>1077</v>
      </c>
      <c r="D336">
        <v>5</v>
      </c>
      <c r="E336" t="s">
        <v>605</v>
      </c>
      <c r="F336" s="2">
        <v>45947</v>
      </c>
      <c r="G336" s="20">
        <v>1326.3636363636363</v>
      </c>
      <c r="H336" s="20">
        <v>1459</v>
      </c>
      <c r="I336" s="20">
        <v>7295</v>
      </c>
      <c r="J336" s="20">
        <f t="shared" si="10"/>
        <v>132.63636363636374</v>
      </c>
      <c r="K336" s="20">
        <f t="shared" si="11"/>
        <v>663.1818181818187</v>
      </c>
      <c r="M336"/>
    </row>
    <row r="337" spans="1:13" x14ac:dyDescent="0.35">
      <c r="A337">
        <v>336</v>
      </c>
      <c r="B337" t="s">
        <v>621</v>
      </c>
      <c r="C337" t="s">
        <v>361</v>
      </c>
      <c r="D337">
        <v>5</v>
      </c>
      <c r="E337" t="s">
        <v>605</v>
      </c>
      <c r="F337" s="2">
        <v>45947</v>
      </c>
      <c r="G337" s="20">
        <v>379.5454545454545</v>
      </c>
      <c r="H337" s="20">
        <v>417.5</v>
      </c>
      <c r="I337" s="20">
        <v>2087.5</v>
      </c>
      <c r="J337" s="20">
        <f t="shared" si="10"/>
        <v>37.954545454545496</v>
      </c>
      <c r="K337" s="20">
        <f t="shared" si="11"/>
        <v>189.77272727272748</v>
      </c>
      <c r="M337"/>
    </row>
    <row r="338" spans="1:13" x14ac:dyDescent="0.35">
      <c r="A338">
        <v>337</v>
      </c>
      <c r="B338" t="s">
        <v>305</v>
      </c>
      <c r="C338" t="s">
        <v>1076</v>
      </c>
      <c r="D338">
        <v>5</v>
      </c>
      <c r="E338" t="s">
        <v>605</v>
      </c>
      <c r="F338" s="2">
        <v>45947</v>
      </c>
      <c r="G338" s="20">
        <v>373.99999999999994</v>
      </c>
      <c r="H338" s="20">
        <v>411.4</v>
      </c>
      <c r="I338" s="20">
        <v>2057</v>
      </c>
      <c r="J338" s="20">
        <f t="shared" si="10"/>
        <v>37.400000000000034</v>
      </c>
      <c r="K338" s="20">
        <f t="shared" si="11"/>
        <v>187.00000000000017</v>
      </c>
      <c r="M338"/>
    </row>
    <row r="339" spans="1:13" x14ac:dyDescent="0.35">
      <c r="A339">
        <v>338</v>
      </c>
      <c r="B339" t="s">
        <v>151</v>
      </c>
      <c r="C339" t="s">
        <v>1076</v>
      </c>
      <c r="D339">
        <v>10</v>
      </c>
      <c r="E339" t="s">
        <v>605</v>
      </c>
      <c r="F339" s="2">
        <v>45947</v>
      </c>
      <c r="G339" s="20">
        <v>238</v>
      </c>
      <c r="H339" s="20">
        <v>261.8</v>
      </c>
      <c r="I339" s="20">
        <v>2618</v>
      </c>
      <c r="J339" s="20">
        <f t="shared" si="10"/>
        <v>23.800000000000011</v>
      </c>
      <c r="K339" s="20">
        <f t="shared" si="11"/>
        <v>238.00000000000011</v>
      </c>
      <c r="M339"/>
    </row>
    <row r="340" spans="1:13" x14ac:dyDescent="0.35">
      <c r="A340">
        <v>339</v>
      </c>
      <c r="B340" t="s">
        <v>622</v>
      </c>
      <c r="C340" t="s">
        <v>1076</v>
      </c>
      <c r="D340">
        <v>10</v>
      </c>
      <c r="E340" t="s">
        <v>605</v>
      </c>
      <c r="F340" s="2">
        <v>45947</v>
      </c>
      <c r="G340" s="20">
        <v>306.30909090909086</v>
      </c>
      <c r="H340" s="20">
        <v>336.94</v>
      </c>
      <c r="I340" s="20">
        <v>3369.4</v>
      </c>
      <c r="J340" s="20">
        <f t="shared" si="10"/>
        <v>30.630909090909142</v>
      </c>
      <c r="K340" s="20">
        <f t="shared" si="11"/>
        <v>306.30909090909142</v>
      </c>
      <c r="M340"/>
    </row>
    <row r="341" spans="1:13" x14ac:dyDescent="0.35">
      <c r="A341">
        <v>340</v>
      </c>
      <c r="B341" t="s">
        <v>623</v>
      </c>
      <c r="C341" t="s">
        <v>368</v>
      </c>
      <c r="D341">
        <v>5</v>
      </c>
      <c r="E341" t="s">
        <v>605</v>
      </c>
      <c r="F341" s="2">
        <v>45947</v>
      </c>
      <c r="G341" s="20">
        <v>538.59090909090912</v>
      </c>
      <c r="H341" s="20">
        <v>592.45000000000005</v>
      </c>
      <c r="I341" s="20">
        <v>2962.25</v>
      </c>
      <c r="J341" s="20">
        <f t="shared" si="10"/>
        <v>53.859090909090924</v>
      </c>
      <c r="K341" s="20">
        <f t="shared" si="11"/>
        <v>269.29545454545462</v>
      </c>
      <c r="M341"/>
    </row>
    <row r="342" spans="1:13" x14ac:dyDescent="0.35">
      <c r="A342">
        <v>341</v>
      </c>
      <c r="B342" t="s">
        <v>560</v>
      </c>
      <c r="C342" t="s">
        <v>361</v>
      </c>
      <c r="D342">
        <v>5</v>
      </c>
      <c r="E342" t="s">
        <v>605</v>
      </c>
      <c r="F342" s="2">
        <v>45947</v>
      </c>
      <c r="G342" s="20">
        <v>632.99999999999989</v>
      </c>
      <c r="H342" s="20">
        <v>696.3</v>
      </c>
      <c r="I342" s="20">
        <v>3481.5</v>
      </c>
      <c r="J342" s="20">
        <f t="shared" si="10"/>
        <v>63.300000000000068</v>
      </c>
      <c r="K342" s="20">
        <f t="shared" si="11"/>
        <v>316.50000000000034</v>
      </c>
      <c r="M342"/>
    </row>
    <row r="343" spans="1:13" x14ac:dyDescent="0.35">
      <c r="A343">
        <v>342</v>
      </c>
      <c r="B343" t="s">
        <v>617</v>
      </c>
      <c r="C343" t="s">
        <v>361</v>
      </c>
      <c r="D343">
        <v>10</v>
      </c>
      <c r="E343" t="s">
        <v>605</v>
      </c>
      <c r="F343" s="2">
        <v>45947</v>
      </c>
      <c r="G343" s="20">
        <v>411.86363636363632</v>
      </c>
      <c r="H343" s="20">
        <v>453.05</v>
      </c>
      <c r="I343" s="20">
        <v>4530.5</v>
      </c>
      <c r="J343" s="20">
        <f t="shared" si="10"/>
        <v>41.186363636363694</v>
      </c>
      <c r="K343" s="20">
        <f t="shared" si="11"/>
        <v>411.86363636363694</v>
      </c>
      <c r="M343"/>
    </row>
    <row r="344" spans="1:13" x14ac:dyDescent="0.35">
      <c r="A344">
        <v>343</v>
      </c>
      <c r="B344" t="s">
        <v>607</v>
      </c>
      <c r="C344" t="s">
        <v>361</v>
      </c>
      <c r="D344">
        <v>5</v>
      </c>
      <c r="E344" t="s">
        <v>605</v>
      </c>
      <c r="F344" s="2">
        <v>45948</v>
      </c>
      <c r="G344" s="20">
        <v>588.69090909090903</v>
      </c>
      <c r="H344" s="20">
        <v>647.55999999999995</v>
      </c>
      <c r="I344" s="20">
        <v>3237.8</v>
      </c>
      <c r="J344" s="20">
        <f t="shared" si="10"/>
        <v>58.869090909090914</v>
      </c>
      <c r="K344" s="20">
        <f t="shared" si="11"/>
        <v>294.34545454545457</v>
      </c>
      <c r="M344"/>
    </row>
    <row r="345" spans="1:13" x14ac:dyDescent="0.35">
      <c r="A345">
        <v>344</v>
      </c>
      <c r="B345" t="s">
        <v>629</v>
      </c>
      <c r="C345" t="s">
        <v>1077</v>
      </c>
      <c r="D345">
        <v>5</v>
      </c>
      <c r="E345" t="s">
        <v>605</v>
      </c>
      <c r="F345" s="2">
        <v>45948</v>
      </c>
      <c r="G345" s="20">
        <v>265.4909090909091</v>
      </c>
      <c r="H345" s="20">
        <v>292.04000000000002</v>
      </c>
      <c r="I345" s="20">
        <v>1460.2</v>
      </c>
      <c r="J345" s="20">
        <f t="shared" si="10"/>
        <v>26.549090909090921</v>
      </c>
      <c r="K345" s="20">
        <f t="shared" si="11"/>
        <v>132.74545454545461</v>
      </c>
      <c r="M345"/>
    </row>
    <row r="346" spans="1:13" x14ac:dyDescent="0.35">
      <c r="A346">
        <v>345</v>
      </c>
      <c r="B346" t="s">
        <v>631</v>
      </c>
      <c r="C346" t="s">
        <v>368</v>
      </c>
      <c r="D346">
        <v>2</v>
      </c>
      <c r="E346" t="s">
        <v>131</v>
      </c>
      <c r="F346" s="2">
        <v>45948</v>
      </c>
      <c r="G346" s="20">
        <v>161.69090909090909</v>
      </c>
      <c r="H346" s="20">
        <v>177.86</v>
      </c>
      <c r="I346" s="20">
        <v>386.45</v>
      </c>
      <c r="J346" s="20">
        <f t="shared" si="10"/>
        <v>16.169090909090926</v>
      </c>
      <c r="K346" s="20">
        <f t="shared" si="11"/>
        <v>32.338181818181852</v>
      </c>
      <c r="M346"/>
    </row>
    <row r="347" spans="1:13" x14ac:dyDescent="0.35">
      <c r="A347">
        <v>346</v>
      </c>
      <c r="B347" t="s">
        <v>632</v>
      </c>
      <c r="C347" t="s">
        <v>361</v>
      </c>
      <c r="D347">
        <v>1</v>
      </c>
      <c r="E347" t="s">
        <v>131</v>
      </c>
      <c r="F347" s="2">
        <v>45948</v>
      </c>
      <c r="G347" s="20">
        <v>183.1090909090909</v>
      </c>
      <c r="H347" s="20">
        <v>201.42</v>
      </c>
      <c r="I347" s="20">
        <v>218.82</v>
      </c>
      <c r="J347" s="20">
        <f t="shared" si="10"/>
        <v>18.310909090909092</v>
      </c>
      <c r="K347" s="20">
        <f t="shared" si="11"/>
        <v>18.310909090909092</v>
      </c>
      <c r="M347"/>
    </row>
    <row r="348" spans="1:13" x14ac:dyDescent="0.35">
      <c r="A348">
        <v>347</v>
      </c>
      <c r="B348" t="s">
        <v>633</v>
      </c>
      <c r="C348" t="s">
        <v>367</v>
      </c>
      <c r="D348">
        <v>3</v>
      </c>
      <c r="E348" t="s">
        <v>131</v>
      </c>
      <c r="F348" s="2">
        <v>45948</v>
      </c>
      <c r="G348" s="20">
        <v>74.290909090909082</v>
      </c>
      <c r="H348" s="20">
        <v>81.72</v>
      </c>
      <c r="I348" s="20">
        <v>266.35000000000002</v>
      </c>
      <c r="J348" s="20">
        <f t="shared" si="10"/>
        <v>7.4290909090909167</v>
      </c>
      <c r="K348" s="20">
        <f t="shared" si="11"/>
        <v>22.28727272727275</v>
      </c>
      <c r="M348"/>
    </row>
    <row r="349" spans="1:13" x14ac:dyDescent="0.35">
      <c r="A349">
        <v>348</v>
      </c>
      <c r="B349" t="s">
        <v>634</v>
      </c>
      <c r="C349" t="s">
        <v>364</v>
      </c>
      <c r="D349">
        <v>3</v>
      </c>
      <c r="E349" t="s">
        <v>131</v>
      </c>
      <c r="F349" s="2">
        <v>45948</v>
      </c>
      <c r="G349" s="20">
        <v>107.14545454545454</v>
      </c>
      <c r="H349" s="20">
        <v>117.86</v>
      </c>
      <c r="I349" s="20">
        <v>384.13</v>
      </c>
      <c r="J349" s="20">
        <f t="shared" si="10"/>
        <v>10.714545454545458</v>
      </c>
      <c r="K349" s="20">
        <f t="shared" si="11"/>
        <v>32.143636363636375</v>
      </c>
      <c r="M349"/>
    </row>
    <row r="350" spans="1:13" x14ac:dyDescent="0.35">
      <c r="A350">
        <v>349</v>
      </c>
      <c r="B350" t="s">
        <v>636</v>
      </c>
      <c r="C350" t="s">
        <v>365</v>
      </c>
      <c r="D350">
        <v>4</v>
      </c>
      <c r="E350" t="s">
        <v>131</v>
      </c>
      <c r="F350" s="2">
        <v>45948</v>
      </c>
      <c r="G350" s="20">
        <v>61.945454545454538</v>
      </c>
      <c r="H350" s="20">
        <v>68.14</v>
      </c>
      <c r="I350" s="20">
        <v>296.16000000000003</v>
      </c>
      <c r="J350" s="20">
        <f t="shared" si="10"/>
        <v>6.1945454545454623</v>
      </c>
      <c r="K350" s="20">
        <f t="shared" si="11"/>
        <v>24.778181818181849</v>
      </c>
      <c r="M350"/>
    </row>
    <row r="351" spans="1:13" x14ac:dyDescent="0.35">
      <c r="A351">
        <v>350</v>
      </c>
      <c r="B351" t="s">
        <v>635</v>
      </c>
      <c r="C351" t="s">
        <v>367</v>
      </c>
      <c r="D351">
        <v>2</v>
      </c>
      <c r="E351" t="s">
        <v>131</v>
      </c>
      <c r="F351" s="2">
        <v>45948</v>
      </c>
      <c r="G351" s="20">
        <v>90.263636363636365</v>
      </c>
      <c r="H351" s="20">
        <v>99.29</v>
      </c>
      <c r="I351" s="20">
        <v>215.74</v>
      </c>
      <c r="J351" s="20">
        <f t="shared" si="10"/>
        <v>9.0263636363636408</v>
      </c>
      <c r="K351" s="20">
        <f t="shared" si="11"/>
        <v>18.052727272727282</v>
      </c>
      <c r="M351"/>
    </row>
    <row r="352" spans="1:13" x14ac:dyDescent="0.35">
      <c r="A352">
        <v>351</v>
      </c>
      <c r="B352" t="s">
        <v>637</v>
      </c>
      <c r="C352" t="s">
        <v>361</v>
      </c>
      <c r="D352">
        <v>2</v>
      </c>
      <c r="E352" t="s">
        <v>131</v>
      </c>
      <c r="F352" s="2">
        <v>45948</v>
      </c>
      <c r="G352" s="20">
        <v>146.1</v>
      </c>
      <c r="H352" s="20">
        <v>160.71</v>
      </c>
      <c r="I352" s="20">
        <v>349.2</v>
      </c>
      <c r="J352" s="20">
        <f t="shared" si="10"/>
        <v>14.610000000000014</v>
      </c>
      <c r="K352" s="20">
        <f t="shared" si="11"/>
        <v>29.220000000000027</v>
      </c>
      <c r="M352"/>
    </row>
    <row r="353" spans="1:13" x14ac:dyDescent="0.35">
      <c r="A353">
        <v>352</v>
      </c>
      <c r="B353" t="s">
        <v>645</v>
      </c>
      <c r="C353" t="s">
        <v>368</v>
      </c>
      <c r="D353">
        <v>3</v>
      </c>
      <c r="E353" t="s">
        <v>95</v>
      </c>
      <c r="F353" s="2">
        <v>45948</v>
      </c>
      <c r="G353" s="20">
        <v>131.65454545454543</v>
      </c>
      <c r="H353" s="20">
        <v>144.82</v>
      </c>
      <c r="I353" s="20">
        <v>422.58</v>
      </c>
      <c r="J353" s="20">
        <f t="shared" si="10"/>
        <v>13.165454545454566</v>
      </c>
      <c r="K353" s="20">
        <f t="shared" si="11"/>
        <v>39.496363636363697</v>
      </c>
      <c r="M353"/>
    </row>
    <row r="354" spans="1:13" x14ac:dyDescent="0.35">
      <c r="A354">
        <v>353</v>
      </c>
      <c r="B354" t="s">
        <v>645</v>
      </c>
      <c r="C354" t="s">
        <v>368</v>
      </c>
      <c r="D354">
        <v>7</v>
      </c>
      <c r="E354" t="s">
        <v>95</v>
      </c>
      <c r="F354" s="2">
        <v>45948</v>
      </c>
      <c r="G354" s="20">
        <v>131.65454545454543</v>
      </c>
      <c r="H354" s="20">
        <v>144.82</v>
      </c>
      <c r="I354" s="20">
        <v>986.04</v>
      </c>
      <c r="J354" s="20">
        <f t="shared" si="10"/>
        <v>13.165454545454566</v>
      </c>
      <c r="K354" s="20">
        <f t="shared" si="11"/>
        <v>92.158181818181959</v>
      </c>
      <c r="M354"/>
    </row>
    <row r="355" spans="1:13" x14ac:dyDescent="0.35">
      <c r="A355">
        <v>354</v>
      </c>
      <c r="B355" t="s">
        <v>646</v>
      </c>
      <c r="C355" t="s">
        <v>368</v>
      </c>
      <c r="D355">
        <v>2</v>
      </c>
      <c r="E355" t="s">
        <v>95</v>
      </c>
      <c r="F355" s="2">
        <v>45948</v>
      </c>
      <c r="G355" s="20">
        <v>373.21818181818179</v>
      </c>
      <c r="H355" s="20">
        <v>410.54</v>
      </c>
      <c r="I355" s="20">
        <v>761</v>
      </c>
      <c r="J355" s="20">
        <f t="shared" si="10"/>
        <v>37.32181818181823</v>
      </c>
      <c r="K355" s="20">
        <f t="shared" si="11"/>
        <v>74.64363636363646</v>
      </c>
      <c r="M355"/>
    </row>
    <row r="356" spans="1:13" x14ac:dyDescent="0.35">
      <c r="A356">
        <v>355</v>
      </c>
      <c r="B356" t="s">
        <v>646</v>
      </c>
      <c r="C356" t="s">
        <v>368</v>
      </c>
      <c r="D356">
        <v>3</v>
      </c>
      <c r="E356" t="s">
        <v>95</v>
      </c>
      <c r="F356" s="2">
        <v>45948</v>
      </c>
      <c r="G356" s="20">
        <v>373.21818181818179</v>
      </c>
      <c r="H356" s="20">
        <v>410.54</v>
      </c>
      <c r="I356" s="20">
        <v>1141.52</v>
      </c>
      <c r="J356" s="20">
        <f t="shared" si="10"/>
        <v>37.32181818181823</v>
      </c>
      <c r="K356" s="20">
        <f t="shared" si="11"/>
        <v>111.96545454545469</v>
      </c>
      <c r="M356"/>
    </row>
    <row r="357" spans="1:13" x14ac:dyDescent="0.35">
      <c r="A357">
        <v>356</v>
      </c>
      <c r="B357" t="s">
        <v>647</v>
      </c>
      <c r="C357" t="s">
        <v>1076</v>
      </c>
      <c r="D357">
        <v>1</v>
      </c>
      <c r="E357" t="s">
        <v>95</v>
      </c>
      <c r="F357" s="2">
        <v>45948</v>
      </c>
      <c r="G357" s="20">
        <v>227.27272727272725</v>
      </c>
      <c r="H357" s="20">
        <v>250</v>
      </c>
      <c r="I357" s="20">
        <v>254.62</v>
      </c>
      <c r="J357" s="20">
        <f t="shared" si="10"/>
        <v>22.727272727272748</v>
      </c>
      <c r="K357" s="20">
        <f t="shared" si="11"/>
        <v>22.727272727272748</v>
      </c>
      <c r="M357"/>
    </row>
    <row r="358" spans="1:13" x14ac:dyDescent="0.35">
      <c r="A358">
        <v>357</v>
      </c>
      <c r="B358" t="s">
        <v>333</v>
      </c>
      <c r="C358" t="s">
        <v>364</v>
      </c>
      <c r="D358">
        <v>6</v>
      </c>
      <c r="E358" t="s">
        <v>95</v>
      </c>
      <c r="F358" s="2">
        <v>45948</v>
      </c>
      <c r="G358" s="20">
        <v>108.40909090909091</v>
      </c>
      <c r="H358" s="20">
        <v>119.25</v>
      </c>
      <c r="I358" s="20">
        <v>728.74</v>
      </c>
      <c r="J358" s="20">
        <f t="shared" si="10"/>
        <v>10.840909090909093</v>
      </c>
      <c r="K358" s="20">
        <f t="shared" si="11"/>
        <v>65.045454545454561</v>
      </c>
      <c r="M358"/>
    </row>
    <row r="359" spans="1:13" x14ac:dyDescent="0.35">
      <c r="A359">
        <v>358</v>
      </c>
      <c r="B359" t="s">
        <v>648</v>
      </c>
      <c r="C359" t="s">
        <v>364</v>
      </c>
      <c r="D359">
        <v>2</v>
      </c>
      <c r="E359" t="s">
        <v>95</v>
      </c>
      <c r="F359" s="2">
        <v>45948</v>
      </c>
      <c r="G359" s="20">
        <v>160.71818181818179</v>
      </c>
      <c r="H359" s="20">
        <v>176.79</v>
      </c>
      <c r="I359" s="20">
        <v>360.11</v>
      </c>
      <c r="J359" s="20">
        <f t="shared" si="10"/>
        <v>16.071818181818202</v>
      </c>
      <c r="K359" s="20">
        <f t="shared" si="11"/>
        <v>32.143636363636404</v>
      </c>
      <c r="M359"/>
    </row>
    <row r="360" spans="1:13" x14ac:dyDescent="0.35">
      <c r="A360">
        <v>359</v>
      </c>
      <c r="B360" t="s">
        <v>653</v>
      </c>
      <c r="C360" t="s">
        <v>1077</v>
      </c>
      <c r="D360">
        <v>19</v>
      </c>
      <c r="E360" t="s">
        <v>95</v>
      </c>
      <c r="F360" s="2">
        <v>45949</v>
      </c>
      <c r="G360" s="20">
        <v>18.963636363636361</v>
      </c>
      <c r="H360" s="20">
        <v>20.86</v>
      </c>
      <c r="I360" s="20">
        <v>403.67</v>
      </c>
      <c r="J360" s="20">
        <f t="shared" si="10"/>
        <v>1.8963636363636382</v>
      </c>
      <c r="K360" s="20">
        <f t="shared" si="11"/>
        <v>36.030909090909127</v>
      </c>
      <c r="M360"/>
    </row>
    <row r="361" spans="1:13" x14ac:dyDescent="0.35">
      <c r="A361">
        <v>360</v>
      </c>
      <c r="B361" t="s">
        <v>654</v>
      </c>
      <c r="C361" t="s">
        <v>1077</v>
      </c>
      <c r="D361">
        <v>2</v>
      </c>
      <c r="E361" t="s">
        <v>95</v>
      </c>
      <c r="F361" s="2">
        <v>45949</v>
      </c>
      <c r="G361" s="20">
        <v>89.454545454545453</v>
      </c>
      <c r="H361" s="20">
        <v>98.4</v>
      </c>
      <c r="I361" s="20">
        <v>200.44</v>
      </c>
      <c r="J361" s="20">
        <f t="shared" si="10"/>
        <v>8.9454545454545524</v>
      </c>
      <c r="K361" s="20">
        <f t="shared" si="11"/>
        <v>17.890909090909105</v>
      </c>
      <c r="M361"/>
    </row>
    <row r="362" spans="1:13" x14ac:dyDescent="0.35">
      <c r="A362">
        <v>361</v>
      </c>
      <c r="B362" t="s">
        <v>655</v>
      </c>
      <c r="C362" t="s">
        <v>1076</v>
      </c>
      <c r="D362">
        <v>6</v>
      </c>
      <c r="E362" t="s">
        <v>95</v>
      </c>
      <c r="F362" s="2">
        <v>45949</v>
      </c>
      <c r="G362" s="20">
        <v>196.5</v>
      </c>
      <c r="H362" s="20">
        <v>216.15</v>
      </c>
      <c r="I362" s="20">
        <v>1320.89</v>
      </c>
      <c r="J362" s="20">
        <f t="shared" si="10"/>
        <v>19.650000000000006</v>
      </c>
      <c r="K362" s="20">
        <f t="shared" si="11"/>
        <v>117.90000000000003</v>
      </c>
      <c r="M362"/>
    </row>
    <row r="363" spans="1:13" x14ac:dyDescent="0.35">
      <c r="A363">
        <v>362</v>
      </c>
      <c r="B363" t="s">
        <v>656</v>
      </c>
      <c r="C363" t="s">
        <v>368</v>
      </c>
      <c r="D363">
        <v>1</v>
      </c>
      <c r="E363" t="s">
        <v>95</v>
      </c>
      <c r="F363" s="2">
        <v>45949</v>
      </c>
      <c r="G363" s="20">
        <v>87.663636363636357</v>
      </c>
      <c r="H363" s="20">
        <v>96.43</v>
      </c>
      <c r="I363" s="20">
        <v>98.22</v>
      </c>
      <c r="J363" s="20">
        <f t="shared" si="10"/>
        <v>8.7663636363636499</v>
      </c>
      <c r="K363" s="20">
        <f t="shared" si="11"/>
        <v>8.7663636363636499</v>
      </c>
      <c r="M363"/>
    </row>
    <row r="364" spans="1:13" x14ac:dyDescent="0.35">
      <c r="A364">
        <v>363</v>
      </c>
      <c r="B364" t="s">
        <v>657</v>
      </c>
      <c r="C364" t="s">
        <v>369</v>
      </c>
      <c r="D364">
        <v>2</v>
      </c>
      <c r="E364" t="s">
        <v>95</v>
      </c>
      <c r="F364" s="2">
        <v>45949</v>
      </c>
      <c r="G364" s="20">
        <v>163.63636363636363</v>
      </c>
      <c r="H364" s="20">
        <v>180</v>
      </c>
      <c r="I364" s="20">
        <v>278</v>
      </c>
      <c r="J364" s="20">
        <f t="shared" si="10"/>
        <v>16.363636363636374</v>
      </c>
      <c r="K364" s="20">
        <f t="shared" si="11"/>
        <v>32.727272727272748</v>
      </c>
      <c r="M364"/>
    </row>
    <row r="365" spans="1:13" x14ac:dyDescent="0.35">
      <c r="A365">
        <v>364</v>
      </c>
      <c r="B365" t="s">
        <v>658</v>
      </c>
      <c r="C365" t="s">
        <v>1076</v>
      </c>
      <c r="D365">
        <v>1</v>
      </c>
      <c r="E365" t="s">
        <v>95</v>
      </c>
      <c r="F365" s="2">
        <v>45949</v>
      </c>
      <c r="G365" s="20">
        <v>178.04545454545453</v>
      </c>
      <c r="H365" s="20">
        <v>195.85</v>
      </c>
      <c r="I365" s="20">
        <v>199.47</v>
      </c>
      <c r="J365" s="20">
        <f t="shared" si="10"/>
        <v>17.804545454545462</v>
      </c>
      <c r="K365" s="20">
        <f t="shared" si="11"/>
        <v>17.804545454545462</v>
      </c>
      <c r="M365"/>
    </row>
    <row r="366" spans="1:13" x14ac:dyDescent="0.35">
      <c r="A366">
        <v>365</v>
      </c>
      <c r="B366" t="s">
        <v>64</v>
      </c>
      <c r="C366" t="s">
        <v>361</v>
      </c>
      <c r="D366">
        <v>6</v>
      </c>
      <c r="E366" t="s">
        <v>95</v>
      </c>
      <c r="F366" s="2">
        <v>45949</v>
      </c>
      <c r="G366" s="20">
        <v>107.24545454545454</v>
      </c>
      <c r="H366" s="20">
        <v>117.97</v>
      </c>
      <c r="I366" s="20">
        <v>720.91</v>
      </c>
      <c r="J366" s="20">
        <f t="shared" si="10"/>
        <v>10.724545454545463</v>
      </c>
      <c r="K366" s="20">
        <f t="shared" si="11"/>
        <v>64.347272727272781</v>
      </c>
      <c r="M366"/>
    </row>
    <row r="367" spans="1:13" x14ac:dyDescent="0.35">
      <c r="A367">
        <v>366</v>
      </c>
      <c r="B367" t="s">
        <v>666</v>
      </c>
      <c r="C367" t="s">
        <v>1075</v>
      </c>
      <c r="D367">
        <v>3</v>
      </c>
      <c r="E367" t="s">
        <v>37</v>
      </c>
      <c r="F367" s="2">
        <v>45949</v>
      </c>
      <c r="G367" s="20">
        <v>145.32727272727271</v>
      </c>
      <c r="H367" s="20">
        <v>159.86000000000001</v>
      </c>
      <c r="I367" s="20">
        <v>488.45</v>
      </c>
      <c r="J367" s="20">
        <f t="shared" si="10"/>
        <v>14.5327272727273</v>
      </c>
      <c r="K367" s="20">
        <f t="shared" si="11"/>
        <v>43.598181818181899</v>
      </c>
      <c r="M367"/>
    </row>
    <row r="368" spans="1:13" x14ac:dyDescent="0.35">
      <c r="A368">
        <v>367</v>
      </c>
      <c r="B368" t="s">
        <v>667</v>
      </c>
      <c r="C368" t="s">
        <v>361</v>
      </c>
      <c r="D368">
        <v>3</v>
      </c>
      <c r="E368" t="s">
        <v>37</v>
      </c>
      <c r="F368" s="2">
        <v>45949</v>
      </c>
      <c r="G368" s="20">
        <v>322.34545454545452</v>
      </c>
      <c r="H368" s="20">
        <v>354.58</v>
      </c>
      <c r="I368" s="20">
        <v>1217.55</v>
      </c>
      <c r="J368" s="20">
        <f t="shared" si="10"/>
        <v>32.234545454545469</v>
      </c>
      <c r="K368" s="20">
        <f t="shared" si="11"/>
        <v>96.703636363636406</v>
      </c>
      <c r="M368"/>
    </row>
    <row r="369" spans="1:13" x14ac:dyDescent="0.35">
      <c r="A369">
        <v>368</v>
      </c>
      <c r="B369" t="s">
        <v>668</v>
      </c>
      <c r="C369" t="s">
        <v>361</v>
      </c>
      <c r="D369">
        <v>1</v>
      </c>
      <c r="E369" t="s">
        <v>37</v>
      </c>
      <c r="F369" s="2">
        <v>45949</v>
      </c>
      <c r="G369" s="20">
        <v>277.0454545454545</v>
      </c>
      <c r="H369" s="20">
        <v>304.75</v>
      </c>
      <c r="I369" s="20">
        <v>348.81</v>
      </c>
      <c r="J369" s="20">
        <f t="shared" si="10"/>
        <v>27.704545454545496</v>
      </c>
      <c r="K369" s="20">
        <f t="shared" si="11"/>
        <v>27.704545454545496</v>
      </c>
      <c r="M369"/>
    </row>
    <row r="370" spans="1:13" x14ac:dyDescent="0.35">
      <c r="A370">
        <v>369</v>
      </c>
      <c r="B370" t="s">
        <v>669</v>
      </c>
      <c r="C370" t="s">
        <v>359</v>
      </c>
      <c r="D370">
        <v>2</v>
      </c>
      <c r="E370" t="s">
        <v>37</v>
      </c>
      <c r="F370" s="2">
        <v>45949</v>
      </c>
      <c r="G370" s="20">
        <v>523.88181818181818</v>
      </c>
      <c r="H370" s="20">
        <v>576.27</v>
      </c>
      <c r="I370" s="20">
        <v>1319.2</v>
      </c>
      <c r="J370" s="20">
        <f t="shared" si="10"/>
        <v>52.388181818181806</v>
      </c>
      <c r="K370" s="20">
        <f t="shared" si="11"/>
        <v>104.77636363636361</v>
      </c>
      <c r="M370"/>
    </row>
    <row r="371" spans="1:13" x14ac:dyDescent="0.35">
      <c r="A371">
        <v>370</v>
      </c>
      <c r="B371" t="s">
        <v>670</v>
      </c>
      <c r="C371" t="s">
        <v>365</v>
      </c>
      <c r="D371">
        <v>3</v>
      </c>
      <c r="E371" t="s">
        <v>37</v>
      </c>
      <c r="F371" s="2">
        <v>45949</v>
      </c>
      <c r="G371" s="20">
        <v>151.40909090909091</v>
      </c>
      <c r="H371" s="20">
        <v>166.55</v>
      </c>
      <c r="I371" s="20">
        <v>508.9</v>
      </c>
      <c r="J371" s="20">
        <f t="shared" si="10"/>
        <v>15.140909090909105</v>
      </c>
      <c r="K371" s="20">
        <f t="shared" si="11"/>
        <v>45.422727272727315</v>
      </c>
      <c r="M371"/>
    </row>
    <row r="372" spans="1:13" x14ac:dyDescent="0.35">
      <c r="A372">
        <v>371</v>
      </c>
      <c r="B372" t="s">
        <v>64</v>
      </c>
      <c r="C372" t="s">
        <v>361</v>
      </c>
      <c r="D372">
        <v>2</v>
      </c>
      <c r="E372" t="s">
        <v>37</v>
      </c>
      <c r="F372" s="2">
        <v>45949</v>
      </c>
      <c r="G372" s="20">
        <v>122.03636363636363</v>
      </c>
      <c r="H372" s="20">
        <v>134.24</v>
      </c>
      <c r="I372" s="20">
        <v>273.45</v>
      </c>
      <c r="J372" s="20">
        <f t="shared" si="10"/>
        <v>12.203636363636377</v>
      </c>
      <c r="K372" s="20">
        <f t="shared" si="11"/>
        <v>24.407272727272755</v>
      </c>
      <c r="M372"/>
    </row>
    <row r="373" spans="1:13" x14ac:dyDescent="0.35">
      <c r="A373">
        <v>372</v>
      </c>
      <c r="B373" t="s">
        <v>671</v>
      </c>
      <c r="C373" t="s">
        <v>1075</v>
      </c>
      <c r="D373">
        <v>1</v>
      </c>
      <c r="E373" t="s">
        <v>37</v>
      </c>
      <c r="F373" s="2">
        <v>45949</v>
      </c>
      <c r="G373" s="20">
        <v>34.93636363636363</v>
      </c>
      <c r="H373" s="20">
        <v>38.43</v>
      </c>
      <c r="I373" s="20">
        <v>39.14</v>
      </c>
      <c r="J373" s="20">
        <f t="shared" si="10"/>
        <v>3.4936363636363694</v>
      </c>
      <c r="K373" s="20">
        <f t="shared" si="11"/>
        <v>3.4936363636363694</v>
      </c>
      <c r="M373"/>
    </row>
    <row r="374" spans="1:13" x14ac:dyDescent="0.35">
      <c r="A374">
        <v>373</v>
      </c>
      <c r="B374" t="s">
        <v>672</v>
      </c>
      <c r="C374" t="s">
        <v>1077</v>
      </c>
      <c r="D374">
        <v>1</v>
      </c>
      <c r="E374" t="s">
        <v>37</v>
      </c>
      <c r="F374" s="2">
        <v>45949</v>
      </c>
      <c r="G374" s="20">
        <v>188.30909090909088</v>
      </c>
      <c r="H374" s="20">
        <v>207.14</v>
      </c>
      <c r="I374" s="20">
        <v>210.97</v>
      </c>
      <c r="J374" s="20">
        <f t="shared" si="10"/>
        <v>18.830909090909103</v>
      </c>
      <c r="K374" s="20">
        <f t="shared" si="11"/>
        <v>18.830909090909103</v>
      </c>
      <c r="M374"/>
    </row>
    <row r="375" spans="1:13" x14ac:dyDescent="0.35">
      <c r="A375">
        <v>374</v>
      </c>
      <c r="B375" t="s">
        <v>444</v>
      </c>
      <c r="C375" t="s">
        <v>369</v>
      </c>
      <c r="D375">
        <v>1</v>
      </c>
      <c r="E375" t="s">
        <v>37</v>
      </c>
      <c r="F375" s="2">
        <v>45949</v>
      </c>
      <c r="G375" s="20">
        <v>243.5090909090909</v>
      </c>
      <c r="H375" s="20">
        <v>267.86</v>
      </c>
      <c r="I375" s="20">
        <v>272.82</v>
      </c>
      <c r="J375" s="20">
        <f t="shared" si="10"/>
        <v>24.350909090909113</v>
      </c>
      <c r="K375" s="20">
        <f t="shared" si="11"/>
        <v>24.350909090909113</v>
      </c>
      <c r="M375"/>
    </row>
    <row r="376" spans="1:13" x14ac:dyDescent="0.35">
      <c r="A376">
        <v>375</v>
      </c>
      <c r="B376" t="s">
        <v>673</v>
      </c>
      <c r="C376" t="s">
        <v>367</v>
      </c>
      <c r="D376">
        <v>2</v>
      </c>
      <c r="E376" t="s">
        <v>37</v>
      </c>
      <c r="F376" s="2">
        <v>45949</v>
      </c>
      <c r="G376" s="20">
        <v>30.9</v>
      </c>
      <c r="H376" s="20">
        <v>33.99</v>
      </c>
      <c r="I376" s="20">
        <v>69.239999999999995</v>
      </c>
      <c r="J376" s="20">
        <f t="shared" si="10"/>
        <v>3.0900000000000034</v>
      </c>
      <c r="K376" s="20">
        <f t="shared" si="11"/>
        <v>6.1800000000000068</v>
      </c>
      <c r="M376"/>
    </row>
    <row r="377" spans="1:13" x14ac:dyDescent="0.35">
      <c r="A377">
        <v>376</v>
      </c>
      <c r="B377" t="s">
        <v>656</v>
      </c>
      <c r="C377" t="s">
        <v>368</v>
      </c>
      <c r="D377">
        <v>1</v>
      </c>
      <c r="E377" t="s">
        <v>37</v>
      </c>
      <c r="F377" s="2">
        <v>45949</v>
      </c>
      <c r="G377" s="20">
        <v>87.272727272727266</v>
      </c>
      <c r="H377" s="20">
        <v>96</v>
      </c>
      <c r="I377" s="20">
        <v>97.78</v>
      </c>
      <c r="J377" s="20">
        <f t="shared" si="10"/>
        <v>8.7272727272727337</v>
      </c>
      <c r="K377" s="20">
        <f t="shared" si="11"/>
        <v>8.7272727272727337</v>
      </c>
      <c r="M377"/>
    </row>
    <row r="378" spans="1:13" x14ac:dyDescent="0.35">
      <c r="A378">
        <v>377</v>
      </c>
      <c r="B378" t="s">
        <v>654</v>
      </c>
      <c r="C378" t="s">
        <v>1077</v>
      </c>
      <c r="D378">
        <v>2</v>
      </c>
      <c r="E378" t="s">
        <v>37</v>
      </c>
      <c r="F378" s="2">
        <v>45949</v>
      </c>
      <c r="G378" s="20">
        <v>89.418181818181807</v>
      </c>
      <c r="H378" s="20">
        <v>98.36</v>
      </c>
      <c r="I378" s="20">
        <v>200.36</v>
      </c>
      <c r="J378" s="20">
        <f t="shared" si="10"/>
        <v>8.9418181818181921</v>
      </c>
      <c r="K378" s="20">
        <f t="shared" si="11"/>
        <v>17.883636363636384</v>
      </c>
      <c r="M378"/>
    </row>
    <row r="379" spans="1:13" x14ac:dyDescent="0.35">
      <c r="A379">
        <v>378</v>
      </c>
      <c r="B379" t="s">
        <v>674</v>
      </c>
      <c r="C379" t="s">
        <v>365</v>
      </c>
      <c r="D379">
        <v>1</v>
      </c>
      <c r="E379" t="s">
        <v>37</v>
      </c>
      <c r="F379" s="2">
        <v>45949</v>
      </c>
      <c r="G379" s="20">
        <v>219.93636363636364</v>
      </c>
      <c r="H379" s="20">
        <v>241.93</v>
      </c>
      <c r="I379" s="20">
        <v>246.41</v>
      </c>
      <c r="J379" s="20">
        <f t="shared" si="10"/>
        <v>21.993636363636369</v>
      </c>
      <c r="K379" s="20">
        <f t="shared" si="11"/>
        <v>21.993636363636369</v>
      </c>
      <c r="M379"/>
    </row>
    <row r="380" spans="1:13" x14ac:dyDescent="0.35">
      <c r="A380">
        <v>379</v>
      </c>
      <c r="B380" t="s">
        <v>687</v>
      </c>
      <c r="C380" t="s">
        <v>359</v>
      </c>
      <c r="D380">
        <v>2</v>
      </c>
      <c r="E380" t="s">
        <v>37</v>
      </c>
      <c r="F380" s="2">
        <v>45950</v>
      </c>
      <c r="G380" s="20">
        <v>511.55454545454546</v>
      </c>
      <c r="H380" s="20">
        <v>562.71</v>
      </c>
      <c r="I380" s="20">
        <v>1288.1600000000001</v>
      </c>
      <c r="J380" s="20">
        <f t="shared" si="10"/>
        <v>51.155454545454575</v>
      </c>
      <c r="K380" s="20">
        <f t="shared" si="11"/>
        <v>102.31090909090915</v>
      </c>
      <c r="M380"/>
    </row>
    <row r="381" spans="1:13" x14ac:dyDescent="0.35">
      <c r="A381">
        <v>380</v>
      </c>
      <c r="B381" t="s">
        <v>688</v>
      </c>
      <c r="C381" t="s">
        <v>365</v>
      </c>
      <c r="D381">
        <v>3</v>
      </c>
      <c r="E381" t="s">
        <v>37</v>
      </c>
      <c r="F381" s="2">
        <v>45950</v>
      </c>
      <c r="G381" s="20">
        <v>229.81818181818181</v>
      </c>
      <c r="H381" s="20">
        <v>252.8</v>
      </c>
      <c r="I381" s="20">
        <v>772.43</v>
      </c>
      <c r="J381" s="20">
        <f t="shared" si="10"/>
        <v>22.981818181818198</v>
      </c>
      <c r="K381" s="20">
        <f t="shared" si="11"/>
        <v>68.945454545454595</v>
      </c>
      <c r="M381"/>
    </row>
    <row r="382" spans="1:13" x14ac:dyDescent="0.35">
      <c r="A382">
        <v>381</v>
      </c>
      <c r="B382" t="s">
        <v>689</v>
      </c>
      <c r="C382" t="s">
        <v>364</v>
      </c>
      <c r="D382">
        <v>1</v>
      </c>
      <c r="E382" t="s">
        <v>37</v>
      </c>
      <c r="F382" s="2">
        <v>45950</v>
      </c>
      <c r="G382" s="20">
        <v>98.372727272727261</v>
      </c>
      <c r="H382" s="20">
        <v>108.21</v>
      </c>
      <c r="I382" s="20">
        <v>110.2</v>
      </c>
      <c r="J382" s="20">
        <f t="shared" si="10"/>
        <v>9.8372727272727332</v>
      </c>
      <c r="K382" s="20">
        <f t="shared" si="11"/>
        <v>9.8372727272727332</v>
      </c>
      <c r="M382"/>
    </row>
    <row r="383" spans="1:13" x14ac:dyDescent="0.35">
      <c r="A383">
        <v>382</v>
      </c>
      <c r="B383" t="s">
        <v>690</v>
      </c>
      <c r="C383" t="s">
        <v>364</v>
      </c>
      <c r="D383">
        <v>10</v>
      </c>
      <c r="E383" t="s">
        <v>37</v>
      </c>
      <c r="F383" s="2">
        <v>45950</v>
      </c>
      <c r="G383" s="20">
        <v>29.072727272727271</v>
      </c>
      <c r="H383" s="20">
        <v>31.98</v>
      </c>
      <c r="I383" s="20">
        <v>329.08</v>
      </c>
      <c r="J383" s="20">
        <f t="shared" si="10"/>
        <v>2.9072727272727299</v>
      </c>
      <c r="K383" s="20">
        <f t="shared" si="11"/>
        <v>29.072727272727299</v>
      </c>
      <c r="M383"/>
    </row>
    <row r="384" spans="1:13" x14ac:dyDescent="0.35">
      <c r="A384">
        <v>383</v>
      </c>
      <c r="B384" t="s">
        <v>691</v>
      </c>
      <c r="C384" t="s">
        <v>1077</v>
      </c>
      <c r="D384">
        <v>1</v>
      </c>
      <c r="E384" t="s">
        <v>37</v>
      </c>
      <c r="F384" s="2">
        <v>45950</v>
      </c>
      <c r="G384" s="20">
        <v>128.23636363636362</v>
      </c>
      <c r="H384" s="20">
        <v>141.06</v>
      </c>
      <c r="I384" s="20">
        <v>143.66999999999999</v>
      </c>
      <c r="J384" s="20">
        <f t="shared" si="10"/>
        <v>12.823636363636382</v>
      </c>
      <c r="K384" s="20">
        <f t="shared" si="11"/>
        <v>12.823636363636382</v>
      </c>
      <c r="M384"/>
    </row>
    <row r="385" spans="1:13" x14ac:dyDescent="0.35">
      <c r="A385">
        <v>384</v>
      </c>
      <c r="B385" t="s">
        <v>692</v>
      </c>
      <c r="C385" t="s">
        <v>367</v>
      </c>
      <c r="D385">
        <v>3</v>
      </c>
      <c r="E385" t="s">
        <v>37</v>
      </c>
      <c r="F385" s="2">
        <v>45950</v>
      </c>
      <c r="G385" s="20">
        <v>91.554545454545448</v>
      </c>
      <c r="H385" s="20">
        <v>100.71</v>
      </c>
      <c r="I385" s="20">
        <v>307.73</v>
      </c>
      <c r="J385" s="20">
        <f t="shared" si="10"/>
        <v>9.1554545454545462</v>
      </c>
      <c r="K385" s="20">
        <f t="shared" si="11"/>
        <v>27.466363636363639</v>
      </c>
      <c r="M385"/>
    </row>
    <row r="386" spans="1:13" x14ac:dyDescent="0.35">
      <c r="A386">
        <v>385</v>
      </c>
      <c r="B386" t="s">
        <v>693</v>
      </c>
      <c r="C386" t="s">
        <v>361</v>
      </c>
      <c r="D386">
        <v>1</v>
      </c>
      <c r="E386" t="s">
        <v>37</v>
      </c>
      <c r="F386" s="2">
        <v>45950</v>
      </c>
      <c r="G386" s="20">
        <v>272.41818181818184</v>
      </c>
      <c r="H386" s="20">
        <v>299.66000000000003</v>
      </c>
      <c r="I386" s="20">
        <v>342.99</v>
      </c>
      <c r="J386" s="20">
        <f t="shared" ref="J386:J449" si="12">H386-G386</f>
        <v>27.241818181818189</v>
      </c>
      <c r="K386" s="20">
        <f t="shared" ref="K386:K449" si="13">J386*D386</f>
        <v>27.241818181818189</v>
      </c>
      <c r="M386"/>
    </row>
    <row r="387" spans="1:13" x14ac:dyDescent="0.35">
      <c r="A387">
        <v>386</v>
      </c>
      <c r="B387" t="s">
        <v>701</v>
      </c>
      <c r="C387" t="s">
        <v>361</v>
      </c>
      <c r="D387">
        <v>5</v>
      </c>
      <c r="E387" t="s">
        <v>134</v>
      </c>
      <c r="F387" s="2">
        <v>45950</v>
      </c>
      <c r="G387" s="20">
        <v>372.72727272727269</v>
      </c>
      <c r="H387" s="20">
        <v>410</v>
      </c>
      <c r="I387" s="20">
        <v>2346.44</v>
      </c>
      <c r="J387" s="20">
        <f t="shared" si="12"/>
        <v>37.272727272727309</v>
      </c>
      <c r="K387" s="20">
        <f t="shared" si="13"/>
        <v>186.36363636363654</v>
      </c>
      <c r="M387"/>
    </row>
    <row r="388" spans="1:13" x14ac:dyDescent="0.35">
      <c r="A388">
        <v>387</v>
      </c>
      <c r="B388" t="s">
        <v>703</v>
      </c>
      <c r="C388" t="s">
        <v>366</v>
      </c>
      <c r="D388">
        <v>1</v>
      </c>
      <c r="E388" t="s">
        <v>131</v>
      </c>
      <c r="F388" s="2">
        <v>45951</v>
      </c>
      <c r="G388" s="20">
        <v>292.20909090909089</v>
      </c>
      <c r="H388" s="20">
        <v>321.43</v>
      </c>
      <c r="I388" s="20">
        <v>327.37</v>
      </c>
      <c r="J388" s="20">
        <f t="shared" si="12"/>
        <v>29.220909090909117</v>
      </c>
      <c r="K388" s="20">
        <f t="shared" si="13"/>
        <v>29.220909090909117</v>
      </c>
      <c r="M388"/>
    </row>
    <row r="389" spans="1:13" x14ac:dyDescent="0.35">
      <c r="A389">
        <v>388</v>
      </c>
      <c r="B389" t="s">
        <v>704</v>
      </c>
      <c r="C389" t="s">
        <v>1076</v>
      </c>
      <c r="D389">
        <v>1</v>
      </c>
      <c r="E389" t="s">
        <v>131</v>
      </c>
      <c r="F389" s="2">
        <v>45951</v>
      </c>
      <c r="G389" s="20">
        <v>103.24545454545454</v>
      </c>
      <c r="H389" s="20">
        <v>113.57</v>
      </c>
      <c r="I389" s="20">
        <v>115.66</v>
      </c>
      <c r="J389" s="20">
        <f t="shared" si="12"/>
        <v>10.324545454545458</v>
      </c>
      <c r="K389" s="20">
        <f t="shared" si="13"/>
        <v>10.324545454545458</v>
      </c>
      <c r="M389"/>
    </row>
    <row r="390" spans="1:13" x14ac:dyDescent="0.35">
      <c r="A390">
        <v>389</v>
      </c>
      <c r="B390" t="s">
        <v>705</v>
      </c>
      <c r="C390" t="s">
        <v>1077</v>
      </c>
      <c r="D390">
        <v>3</v>
      </c>
      <c r="E390" t="s">
        <v>131</v>
      </c>
      <c r="F390" s="2">
        <v>45951</v>
      </c>
      <c r="G390" s="20">
        <v>27.09090909090909</v>
      </c>
      <c r="H390" s="20">
        <v>29.8</v>
      </c>
      <c r="I390" s="20">
        <v>93.88</v>
      </c>
      <c r="J390" s="20">
        <f t="shared" si="12"/>
        <v>2.7090909090909108</v>
      </c>
      <c r="K390" s="20">
        <f t="shared" si="13"/>
        <v>8.1272727272727323</v>
      </c>
      <c r="M390"/>
    </row>
    <row r="391" spans="1:13" x14ac:dyDescent="0.35">
      <c r="A391">
        <v>390</v>
      </c>
      <c r="B391" t="s">
        <v>706</v>
      </c>
      <c r="C391" t="s">
        <v>365</v>
      </c>
      <c r="D391">
        <v>1</v>
      </c>
      <c r="E391" t="s">
        <v>131</v>
      </c>
      <c r="F391" s="2">
        <v>45951</v>
      </c>
      <c r="G391" s="20">
        <v>314.93636363636364</v>
      </c>
      <c r="H391" s="20">
        <v>346.43</v>
      </c>
      <c r="I391" s="20">
        <v>352.84</v>
      </c>
      <c r="J391" s="20">
        <f t="shared" si="12"/>
        <v>31.493636363636369</v>
      </c>
      <c r="K391" s="20">
        <f t="shared" si="13"/>
        <v>31.493636363636369</v>
      </c>
      <c r="M391"/>
    </row>
    <row r="392" spans="1:13" x14ac:dyDescent="0.35">
      <c r="A392">
        <v>391</v>
      </c>
      <c r="B392" t="s">
        <v>707</v>
      </c>
      <c r="C392" t="s">
        <v>365</v>
      </c>
      <c r="D392">
        <v>10</v>
      </c>
      <c r="E392" t="s">
        <v>131</v>
      </c>
      <c r="F392" s="2">
        <v>45951</v>
      </c>
      <c r="G392" s="20">
        <v>6.8909090909090907</v>
      </c>
      <c r="H392" s="20">
        <v>7.58</v>
      </c>
      <c r="I392" s="20">
        <v>79.599999999999994</v>
      </c>
      <c r="J392" s="20">
        <f t="shared" si="12"/>
        <v>0.68909090909090942</v>
      </c>
      <c r="K392" s="20">
        <f t="shared" si="13"/>
        <v>6.8909090909090942</v>
      </c>
      <c r="M392"/>
    </row>
    <row r="393" spans="1:13" x14ac:dyDescent="0.35">
      <c r="A393">
        <v>392</v>
      </c>
      <c r="B393" t="s">
        <v>708</v>
      </c>
      <c r="C393" t="s">
        <v>367</v>
      </c>
      <c r="D393">
        <v>4</v>
      </c>
      <c r="E393" t="s">
        <v>131</v>
      </c>
      <c r="F393" s="2">
        <v>45951</v>
      </c>
      <c r="G393" s="20">
        <v>112.99090909090908</v>
      </c>
      <c r="H393" s="20">
        <v>124.29</v>
      </c>
      <c r="I393" s="20">
        <v>506.37</v>
      </c>
      <c r="J393" s="20">
        <f t="shared" si="12"/>
        <v>11.299090909090921</v>
      </c>
      <c r="K393" s="20">
        <f t="shared" si="13"/>
        <v>45.196363636363685</v>
      </c>
      <c r="M393"/>
    </row>
    <row r="394" spans="1:13" x14ac:dyDescent="0.35">
      <c r="A394">
        <v>393</v>
      </c>
      <c r="B394" t="s">
        <v>708</v>
      </c>
      <c r="C394" t="s">
        <v>367</v>
      </c>
      <c r="D394">
        <v>1</v>
      </c>
      <c r="E394" t="s">
        <v>131</v>
      </c>
      <c r="F394" s="2">
        <v>45951</v>
      </c>
      <c r="G394" s="20">
        <v>112.99090909090908</v>
      </c>
      <c r="H394" s="20">
        <v>124.29</v>
      </c>
      <c r="I394" s="20">
        <v>126.58</v>
      </c>
      <c r="J394" s="20">
        <f t="shared" si="12"/>
        <v>11.299090909090921</v>
      </c>
      <c r="K394" s="20">
        <f t="shared" si="13"/>
        <v>11.299090909090921</v>
      </c>
      <c r="M394"/>
    </row>
    <row r="395" spans="1:13" x14ac:dyDescent="0.35">
      <c r="A395">
        <v>394</v>
      </c>
      <c r="B395" t="s">
        <v>12</v>
      </c>
      <c r="C395" t="s">
        <v>361</v>
      </c>
      <c r="D395">
        <v>1</v>
      </c>
      <c r="E395" t="s">
        <v>37</v>
      </c>
      <c r="F395" s="2">
        <v>45951</v>
      </c>
      <c r="G395" s="20">
        <v>155.31818181818181</v>
      </c>
      <c r="H395" s="20">
        <v>170.85</v>
      </c>
      <c r="I395" s="20">
        <v>195.54</v>
      </c>
      <c r="J395" s="20">
        <f t="shared" si="12"/>
        <v>15.531818181818181</v>
      </c>
      <c r="K395" s="20">
        <f t="shared" si="13"/>
        <v>15.531818181818181</v>
      </c>
      <c r="M395"/>
    </row>
    <row r="396" spans="1:13" x14ac:dyDescent="0.35">
      <c r="A396">
        <v>395</v>
      </c>
      <c r="B396" t="s">
        <v>716</v>
      </c>
      <c r="C396" t="s">
        <v>365</v>
      </c>
      <c r="D396">
        <v>10</v>
      </c>
      <c r="E396" t="s">
        <v>37</v>
      </c>
      <c r="F396" s="2">
        <v>45951</v>
      </c>
      <c r="G396" s="20">
        <v>81.818181818181813</v>
      </c>
      <c r="H396" s="20">
        <v>90</v>
      </c>
      <c r="I396" s="20">
        <v>916.66</v>
      </c>
      <c r="J396" s="20">
        <f t="shared" si="12"/>
        <v>8.181818181818187</v>
      </c>
      <c r="K396" s="20">
        <f t="shared" si="13"/>
        <v>81.81818181818187</v>
      </c>
      <c r="M396"/>
    </row>
    <row r="397" spans="1:13" x14ac:dyDescent="0.35">
      <c r="A397">
        <v>396</v>
      </c>
      <c r="B397" t="s">
        <v>717</v>
      </c>
      <c r="C397" t="s">
        <v>368</v>
      </c>
      <c r="D397">
        <v>1</v>
      </c>
      <c r="E397" t="s">
        <v>37</v>
      </c>
      <c r="F397" s="2">
        <v>45951</v>
      </c>
      <c r="G397" s="20">
        <v>71.418181818181822</v>
      </c>
      <c r="H397" s="20">
        <v>78.56</v>
      </c>
      <c r="I397" s="20">
        <v>80.02</v>
      </c>
      <c r="J397" s="20">
        <f t="shared" si="12"/>
        <v>7.1418181818181807</v>
      </c>
      <c r="K397" s="20">
        <f t="shared" si="13"/>
        <v>7.1418181818181807</v>
      </c>
      <c r="M397"/>
    </row>
    <row r="398" spans="1:13" x14ac:dyDescent="0.35">
      <c r="A398">
        <v>397</v>
      </c>
      <c r="B398" t="s">
        <v>718</v>
      </c>
      <c r="C398" t="s">
        <v>368</v>
      </c>
      <c r="D398">
        <v>1</v>
      </c>
      <c r="E398" t="s">
        <v>37</v>
      </c>
      <c r="F398" s="2">
        <v>45951</v>
      </c>
      <c r="G398" s="20">
        <v>78.98181818181817</v>
      </c>
      <c r="H398" s="20">
        <v>86.88</v>
      </c>
      <c r="I398" s="20">
        <v>88.49</v>
      </c>
      <c r="J398" s="20">
        <f t="shared" si="12"/>
        <v>7.8981818181818255</v>
      </c>
      <c r="K398" s="20">
        <f t="shared" si="13"/>
        <v>7.8981818181818255</v>
      </c>
      <c r="M398"/>
    </row>
    <row r="399" spans="1:13" x14ac:dyDescent="0.35">
      <c r="A399">
        <v>398</v>
      </c>
      <c r="B399" t="s">
        <v>719</v>
      </c>
      <c r="C399" t="s">
        <v>365</v>
      </c>
      <c r="D399">
        <v>3</v>
      </c>
      <c r="E399" t="s">
        <v>37</v>
      </c>
      <c r="F399" s="2">
        <v>45951</v>
      </c>
      <c r="G399" s="20">
        <v>46.609090909090909</v>
      </c>
      <c r="H399" s="20">
        <v>51.27</v>
      </c>
      <c r="I399" s="20">
        <v>156.66</v>
      </c>
      <c r="J399" s="20">
        <f t="shared" si="12"/>
        <v>4.6609090909090938</v>
      </c>
      <c r="K399" s="20">
        <f t="shared" si="13"/>
        <v>13.982727272727281</v>
      </c>
      <c r="M399"/>
    </row>
    <row r="400" spans="1:13" x14ac:dyDescent="0.35">
      <c r="A400">
        <v>399</v>
      </c>
      <c r="B400" t="s">
        <v>720</v>
      </c>
      <c r="C400" t="s">
        <v>365</v>
      </c>
      <c r="D400">
        <v>4</v>
      </c>
      <c r="E400" t="s">
        <v>37</v>
      </c>
      <c r="F400" s="2">
        <v>45951</v>
      </c>
      <c r="G400" s="20">
        <v>155.14545454545453</v>
      </c>
      <c r="H400" s="20">
        <v>170.66</v>
      </c>
      <c r="I400" s="20">
        <v>695.26</v>
      </c>
      <c r="J400" s="20">
        <f t="shared" si="12"/>
        <v>15.51454545454547</v>
      </c>
      <c r="K400" s="20">
        <f t="shared" si="13"/>
        <v>62.058181818181879</v>
      </c>
      <c r="M400"/>
    </row>
    <row r="401" spans="1:13" x14ac:dyDescent="0.35">
      <c r="A401">
        <v>400</v>
      </c>
      <c r="B401" t="s">
        <v>721</v>
      </c>
      <c r="C401" t="s">
        <v>368</v>
      </c>
      <c r="D401">
        <v>28</v>
      </c>
      <c r="E401" t="s">
        <v>37</v>
      </c>
      <c r="F401" s="2">
        <v>45951</v>
      </c>
      <c r="G401" s="20">
        <v>15.963636363636361</v>
      </c>
      <c r="H401" s="20">
        <v>17.559999999999999</v>
      </c>
      <c r="I401" s="20">
        <v>500.72</v>
      </c>
      <c r="J401" s="20">
        <f t="shared" si="12"/>
        <v>1.5963636363636375</v>
      </c>
      <c r="K401" s="20">
        <f t="shared" si="13"/>
        <v>44.698181818181851</v>
      </c>
      <c r="M401"/>
    </row>
    <row r="402" spans="1:13" x14ac:dyDescent="0.35">
      <c r="A402">
        <v>401</v>
      </c>
      <c r="B402" t="s">
        <v>722</v>
      </c>
      <c r="C402" t="s">
        <v>364</v>
      </c>
      <c r="D402">
        <v>6</v>
      </c>
      <c r="E402" t="s">
        <v>37</v>
      </c>
      <c r="F402" s="2">
        <v>45951</v>
      </c>
      <c r="G402" s="20">
        <v>159.19090909090909</v>
      </c>
      <c r="H402" s="20">
        <v>175.11</v>
      </c>
      <c r="I402" s="20">
        <v>1070.0999999999999</v>
      </c>
      <c r="J402" s="20">
        <f t="shared" si="12"/>
        <v>15.919090909090926</v>
      </c>
      <c r="K402" s="20">
        <f t="shared" si="13"/>
        <v>95.514545454545555</v>
      </c>
      <c r="M402"/>
    </row>
    <row r="403" spans="1:13" x14ac:dyDescent="0.35">
      <c r="A403">
        <v>402</v>
      </c>
      <c r="B403" t="s">
        <v>723</v>
      </c>
      <c r="C403" t="s">
        <v>367</v>
      </c>
      <c r="D403">
        <v>4</v>
      </c>
      <c r="E403" t="s">
        <v>37</v>
      </c>
      <c r="F403" s="2">
        <v>45951</v>
      </c>
      <c r="G403" s="20">
        <v>114.55454545454545</v>
      </c>
      <c r="H403" s="20">
        <v>126.01</v>
      </c>
      <c r="I403" s="20">
        <v>513.6</v>
      </c>
      <c r="J403" s="20">
        <f t="shared" si="12"/>
        <v>11.455454545454558</v>
      </c>
      <c r="K403" s="20">
        <f t="shared" si="13"/>
        <v>45.82181818181823</v>
      </c>
      <c r="M403"/>
    </row>
    <row r="404" spans="1:13" x14ac:dyDescent="0.35">
      <c r="A404">
        <v>403</v>
      </c>
      <c r="B404" t="s">
        <v>724</v>
      </c>
      <c r="C404" t="s">
        <v>361</v>
      </c>
      <c r="D404">
        <v>2</v>
      </c>
      <c r="E404" t="s">
        <v>37</v>
      </c>
      <c r="F404" s="2">
        <v>45951</v>
      </c>
      <c r="G404" s="20">
        <v>246.75454545454545</v>
      </c>
      <c r="H404" s="20">
        <v>271.43</v>
      </c>
      <c r="I404" s="20">
        <v>552.89</v>
      </c>
      <c r="J404" s="20">
        <f t="shared" si="12"/>
        <v>24.675454545454556</v>
      </c>
      <c r="K404" s="20">
        <f t="shared" si="13"/>
        <v>49.350909090909113</v>
      </c>
      <c r="M404"/>
    </row>
    <row r="405" spans="1:13" x14ac:dyDescent="0.35">
      <c r="A405">
        <v>404</v>
      </c>
      <c r="B405" t="s">
        <v>734</v>
      </c>
      <c r="C405" t="s">
        <v>361</v>
      </c>
      <c r="D405">
        <v>2</v>
      </c>
      <c r="E405" t="s">
        <v>134</v>
      </c>
      <c r="F405" s="2">
        <v>45951</v>
      </c>
      <c r="G405" s="20">
        <v>874.96363636363628</v>
      </c>
      <c r="H405" s="20">
        <v>962.46</v>
      </c>
      <c r="I405" s="20">
        <v>1960.53</v>
      </c>
      <c r="J405" s="20">
        <f t="shared" si="12"/>
        <v>87.496363636363753</v>
      </c>
      <c r="K405" s="20">
        <f t="shared" si="13"/>
        <v>174.99272727272751</v>
      </c>
      <c r="M405"/>
    </row>
    <row r="406" spans="1:13" x14ac:dyDescent="0.35">
      <c r="A406">
        <v>405</v>
      </c>
      <c r="B406" t="s">
        <v>735</v>
      </c>
      <c r="C406" t="s">
        <v>359</v>
      </c>
      <c r="D406">
        <v>2</v>
      </c>
      <c r="E406" t="s">
        <v>134</v>
      </c>
      <c r="F406" s="2">
        <v>45951</v>
      </c>
      <c r="G406" s="20">
        <v>555.29999999999995</v>
      </c>
      <c r="H406" s="20">
        <v>610.83000000000004</v>
      </c>
      <c r="I406" s="20">
        <v>1244.27</v>
      </c>
      <c r="J406" s="20">
        <f t="shared" si="12"/>
        <v>55.530000000000086</v>
      </c>
      <c r="K406" s="20">
        <f t="shared" si="13"/>
        <v>111.06000000000017</v>
      </c>
      <c r="M406"/>
    </row>
    <row r="407" spans="1:13" x14ac:dyDescent="0.35">
      <c r="A407">
        <v>406</v>
      </c>
      <c r="B407" t="s">
        <v>280</v>
      </c>
      <c r="C407" t="s">
        <v>361</v>
      </c>
      <c r="D407">
        <v>3</v>
      </c>
      <c r="E407" t="s">
        <v>134</v>
      </c>
      <c r="F407" s="2">
        <v>45951</v>
      </c>
      <c r="G407" s="20">
        <v>259.09090909090907</v>
      </c>
      <c r="H407" s="20">
        <v>285</v>
      </c>
      <c r="I407" s="20">
        <v>870.81</v>
      </c>
      <c r="J407" s="20">
        <f t="shared" si="12"/>
        <v>25.909090909090935</v>
      </c>
      <c r="K407" s="20">
        <f t="shared" si="13"/>
        <v>77.727272727272805</v>
      </c>
      <c r="M407"/>
    </row>
    <row r="408" spans="1:13" x14ac:dyDescent="0.35">
      <c r="A408">
        <v>407</v>
      </c>
      <c r="B408" t="s">
        <v>736</v>
      </c>
      <c r="C408" t="s">
        <v>1077</v>
      </c>
      <c r="D408">
        <v>3</v>
      </c>
      <c r="E408" t="s">
        <v>134</v>
      </c>
      <c r="F408" s="2">
        <v>45951</v>
      </c>
      <c r="G408" s="20">
        <v>501.08181818181816</v>
      </c>
      <c r="H408" s="20">
        <v>551.19000000000005</v>
      </c>
      <c r="I408" s="20">
        <v>1684.16</v>
      </c>
      <c r="J408" s="20">
        <f t="shared" si="12"/>
        <v>50.10818181818189</v>
      </c>
      <c r="K408" s="20">
        <f t="shared" si="13"/>
        <v>150.32454545454567</v>
      </c>
      <c r="M408"/>
    </row>
    <row r="409" spans="1:13" x14ac:dyDescent="0.35">
      <c r="A409">
        <v>408</v>
      </c>
      <c r="B409" t="s">
        <v>740</v>
      </c>
      <c r="C409" t="s">
        <v>361</v>
      </c>
      <c r="D409">
        <v>3</v>
      </c>
      <c r="E409" t="s">
        <v>131</v>
      </c>
      <c r="F409" s="2">
        <v>45951</v>
      </c>
      <c r="G409" s="20">
        <v>155.87272727272727</v>
      </c>
      <c r="H409" s="20">
        <v>171.46</v>
      </c>
      <c r="I409" s="20">
        <v>529.29</v>
      </c>
      <c r="J409" s="20">
        <f t="shared" si="12"/>
        <v>15.587272727272733</v>
      </c>
      <c r="K409" s="20">
        <f t="shared" si="13"/>
        <v>46.761818181818199</v>
      </c>
      <c r="M409"/>
    </row>
    <row r="410" spans="1:13" x14ac:dyDescent="0.35">
      <c r="A410">
        <v>409</v>
      </c>
      <c r="B410" t="s">
        <v>741</v>
      </c>
      <c r="C410" t="s">
        <v>365</v>
      </c>
      <c r="D410">
        <v>2</v>
      </c>
      <c r="E410" t="s">
        <v>131</v>
      </c>
      <c r="F410" s="2">
        <v>45951</v>
      </c>
      <c r="G410" s="20">
        <v>80.590909090909093</v>
      </c>
      <c r="H410" s="20">
        <v>88.65</v>
      </c>
      <c r="I410" s="20">
        <v>186.16</v>
      </c>
      <c r="J410" s="20">
        <f t="shared" si="12"/>
        <v>8.0590909090909122</v>
      </c>
      <c r="K410" s="20">
        <f t="shared" si="13"/>
        <v>16.118181818181824</v>
      </c>
      <c r="M410"/>
    </row>
    <row r="411" spans="1:13" x14ac:dyDescent="0.35">
      <c r="A411">
        <v>410</v>
      </c>
      <c r="B411" t="s">
        <v>742</v>
      </c>
      <c r="C411" t="s">
        <v>1076</v>
      </c>
      <c r="D411">
        <v>1</v>
      </c>
      <c r="E411" t="s">
        <v>131</v>
      </c>
      <c r="F411" s="2">
        <v>45951</v>
      </c>
      <c r="G411" s="20">
        <v>150.35454545454542</v>
      </c>
      <c r="H411" s="20">
        <v>165.39</v>
      </c>
      <c r="I411" s="20">
        <v>168.45</v>
      </c>
      <c r="J411" s="20">
        <f t="shared" si="12"/>
        <v>15.03545454545457</v>
      </c>
      <c r="K411" s="20">
        <f t="shared" si="13"/>
        <v>15.03545454545457</v>
      </c>
      <c r="M411"/>
    </row>
    <row r="412" spans="1:13" x14ac:dyDescent="0.35">
      <c r="A412">
        <v>411</v>
      </c>
      <c r="B412" t="s">
        <v>743</v>
      </c>
      <c r="C412" t="s">
        <v>368</v>
      </c>
      <c r="D412">
        <v>3</v>
      </c>
      <c r="E412" t="s">
        <v>131</v>
      </c>
      <c r="F412" s="2">
        <v>45951</v>
      </c>
      <c r="G412" s="20">
        <v>48.454545454545446</v>
      </c>
      <c r="H412" s="20">
        <v>53.3</v>
      </c>
      <c r="I412" s="20">
        <v>162.86000000000001</v>
      </c>
      <c r="J412" s="20">
        <f t="shared" si="12"/>
        <v>4.845454545454551</v>
      </c>
      <c r="K412" s="20">
        <f t="shared" si="13"/>
        <v>14.536363636363653</v>
      </c>
      <c r="M412"/>
    </row>
    <row r="413" spans="1:13" x14ac:dyDescent="0.35">
      <c r="A413">
        <v>412</v>
      </c>
      <c r="B413" t="s">
        <v>744</v>
      </c>
      <c r="C413" t="s">
        <v>1077</v>
      </c>
      <c r="D413">
        <v>12</v>
      </c>
      <c r="E413" t="s">
        <v>131</v>
      </c>
      <c r="F413" s="2">
        <v>45951</v>
      </c>
      <c r="G413" s="20">
        <v>74.345454545454544</v>
      </c>
      <c r="H413" s="20">
        <v>81.78</v>
      </c>
      <c r="I413" s="20">
        <v>832.93</v>
      </c>
      <c r="J413" s="20">
        <f t="shared" si="12"/>
        <v>7.4345454545454572</v>
      </c>
      <c r="K413" s="20">
        <f t="shared" si="13"/>
        <v>89.214545454545487</v>
      </c>
      <c r="M413"/>
    </row>
    <row r="414" spans="1:13" x14ac:dyDescent="0.35">
      <c r="A414">
        <v>413</v>
      </c>
      <c r="B414" t="s">
        <v>745</v>
      </c>
      <c r="C414" t="s">
        <v>1077</v>
      </c>
      <c r="D414">
        <v>1</v>
      </c>
      <c r="E414" t="s">
        <v>131</v>
      </c>
      <c r="F414" s="2">
        <v>45951</v>
      </c>
      <c r="G414" s="20">
        <v>206.49090909090907</v>
      </c>
      <c r="H414" s="20">
        <v>227.14</v>
      </c>
      <c r="I414" s="20">
        <v>231.35</v>
      </c>
      <c r="J414" s="20">
        <f t="shared" si="12"/>
        <v>20.649090909090916</v>
      </c>
      <c r="K414" s="20">
        <f t="shared" si="13"/>
        <v>20.649090909090916</v>
      </c>
      <c r="M414"/>
    </row>
    <row r="415" spans="1:13" x14ac:dyDescent="0.35">
      <c r="A415">
        <v>414</v>
      </c>
      <c r="B415" t="s">
        <v>751</v>
      </c>
      <c r="C415" t="s">
        <v>368</v>
      </c>
      <c r="D415">
        <v>6</v>
      </c>
      <c r="E415" t="s">
        <v>131</v>
      </c>
      <c r="F415" s="2">
        <v>45952</v>
      </c>
      <c r="G415" s="20">
        <v>79.490909090909085</v>
      </c>
      <c r="H415" s="20">
        <v>87.44</v>
      </c>
      <c r="I415" s="20">
        <v>178.11</v>
      </c>
      <c r="J415" s="20">
        <f t="shared" si="12"/>
        <v>7.9490909090909128</v>
      </c>
      <c r="K415" s="20">
        <f t="shared" si="13"/>
        <v>47.694545454545477</v>
      </c>
      <c r="M415"/>
    </row>
    <row r="416" spans="1:13" x14ac:dyDescent="0.35">
      <c r="A416">
        <v>415</v>
      </c>
      <c r="B416" t="s">
        <v>752</v>
      </c>
      <c r="C416" t="s">
        <v>368</v>
      </c>
      <c r="D416">
        <v>5</v>
      </c>
      <c r="E416" t="s">
        <v>131</v>
      </c>
      <c r="F416" s="2">
        <v>45952</v>
      </c>
      <c r="G416" s="20">
        <v>23.5</v>
      </c>
      <c r="H416" s="20">
        <v>25.85</v>
      </c>
      <c r="I416" s="20">
        <v>135.71</v>
      </c>
      <c r="J416" s="20">
        <f t="shared" si="12"/>
        <v>2.3500000000000014</v>
      </c>
      <c r="K416" s="20">
        <f t="shared" si="13"/>
        <v>11.750000000000007</v>
      </c>
      <c r="M416"/>
    </row>
    <row r="417" spans="1:13" x14ac:dyDescent="0.35">
      <c r="A417">
        <v>416</v>
      </c>
      <c r="B417" t="s">
        <v>753</v>
      </c>
      <c r="C417" t="s">
        <v>368</v>
      </c>
      <c r="D417">
        <v>10</v>
      </c>
      <c r="E417" t="s">
        <v>131</v>
      </c>
      <c r="F417" s="2">
        <v>45952</v>
      </c>
      <c r="G417" s="20">
        <v>44.054545454545455</v>
      </c>
      <c r="H417" s="20">
        <v>48.46</v>
      </c>
      <c r="I417" s="20">
        <v>444.22</v>
      </c>
      <c r="J417" s="20">
        <f t="shared" si="12"/>
        <v>4.4054545454545462</v>
      </c>
      <c r="K417" s="20">
        <f t="shared" si="13"/>
        <v>44.054545454545462</v>
      </c>
      <c r="M417"/>
    </row>
    <row r="418" spans="1:13" x14ac:dyDescent="0.35">
      <c r="A418">
        <v>417</v>
      </c>
      <c r="B418" t="s">
        <v>754</v>
      </c>
      <c r="C418" t="s">
        <v>362</v>
      </c>
      <c r="D418">
        <v>1</v>
      </c>
      <c r="E418" t="s">
        <v>131</v>
      </c>
      <c r="F418" s="2">
        <v>45952</v>
      </c>
      <c r="G418" s="20">
        <v>89.836363636363629</v>
      </c>
      <c r="H418" s="20">
        <v>98.82</v>
      </c>
      <c r="I418" s="20">
        <v>100.66</v>
      </c>
      <c r="J418" s="20">
        <f t="shared" si="12"/>
        <v>8.9836363636363643</v>
      </c>
      <c r="K418" s="20">
        <f t="shared" si="13"/>
        <v>8.9836363636363643</v>
      </c>
      <c r="M418"/>
    </row>
    <row r="419" spans="1:13" x14ac:dyDescent="0.35">
      <c r="A419">
        <v>418</v>
      </c>
      <c r="B419" t="s">
        <v>755</v>
      </c>
      <c r="C419" t="s">
        <v>364</v>
      </c>
      <c r="D419">
        <v>2</v>
      </c>
      <c r="E419" t="s">
        <v>131</v>
      </c>
      <c r="F419" s="2">
        <v>45952</v>
      </c>
      <c r="G419" s="20">
        <v>155.56363636363636</v>
      </c>
      <c r="H419" s="20">
        <v>171.12</v>
      </c>
      <c r="I419" s="20">
        <v>348.57</v>
      </c>
      <c r="J419" s="20">
        <f t="shared" si="12"/>
        <v>15.556363636363642</v>
      </c>
      <c r="K419" s="20">
        <f t="shared" si="13"/>
        <v>31.112727272727284</v>
      </c>
      <c r="M419"/>
    </row>
    <row r="420" spans="1:13" x14ac:dyDescent="0.35">
      <c r="A420">
        <v>419</v>
      </c>
      <c r="B420" t="s">
        <v>756</v>
      </c>
      <c r="C420" t="s">
        <v>361</v>
      </c>
      <c r="D420">
        <v>5</v>
      </c>
      <c r="E420" t="s">
        <v>131</v>
      </c>
      <c r="F420" s="2">
        <v>45952</v>
      </c>
      <c r="G420" s="20">
        <v>80.745454545454535</v>
      </c>
      <c r="H420" s="20">
        <v>88.82</v>
      </c>
      <c r="I420" s="20">
        <v>462.57</v>
      </c>
      <c r="J420" s="20">
        <f t="shared" si="12"/>
        <v>8.0745454545454578</v>
      </c>
      <c r="K420" s="20">
        <f t="shared" si="13"/>
        <v>40.372727272727289</v>
      </c>
      <c r="M420"/>
    </row>
    <row r="421" spans="1:13" x14ac:dyDescent="0.35">
      <c r="A421">
        <v>420</v>
      </c>
      <c r="B421" t="s">
        <v>757</v>
      </c>
      <c r="C421" t="s">
        <v>365</v>
      </c>
      <c r="D421">
        <v>5</v>
      </c>
      <c r="E421" t="s">
        <v>131</v>
      </c>
      <c r="F421" s="2">
        <v>45952</v>
      </c>
      <c r="G421" s="20">
        <v>25.636363636363633</v>
      </c>
      <c r="H421" s="20">
        <v>28.2</v>
      </c>
      <c r="I421" s="20">
        <v>148.06</v>
      </c>
      <c r="J421" s="20">
        <f t="shared" si="12"/>
        <v>2.5636363636363662</v>
      </c>
      <c r="K421" s="20">
        <f t="shared" si="13"/>
        <v>12.818181818181831</v>
      </c>
      <c r="M421"/>
    </row>
    <row r="422" spans="1:13" x14ac:dyDescent="0.35">
      <c r="A422">
        <v>421</v>
      </c>
      <c r="B422" t="s">
        <v>758</v>
      </c>
      <c r="C422" t="s">
        <v>361</v>
      </c>
      <c r="D422">
        <v>2</v>
      </c>
      <c r="E422" t="s">
        <v>131</v>
      </c>
      <c r="F422" s="2">
        <v>45952</v>
      </c>
      <c r="G422" s="20">
        <v>122.64545454545453</v>
      </c>
      <c r="H422" s="20">
        <v>134.91</v>
      </c>
      <c r="I422" s="20">
        <v>308.85000000000002</v>
      </c>
      <c r="J422" s="20">
        <f t="shared" si="12"/>
        <v>12.26454545454547</v>
      </c>
      <c r="K422" s="20">
        <f t="shared" si="13"/>
        <v>24.529090909090939</v>
      </c>
      <c r="M422"/>
    </row>
    <row r="423" spans="1:13" x14ac:dyDescent="0.35">
      <c r="A423">
        <v>422</v>
      </c>
      <c r="B423" t="s">
        <v>759</v>
      </c>
      <c r="C423" t="s">
        <v>1075</v>
      </c>
      <c r="D423">
        <v>1</v>
      </c>
      <c r="E423" t="s">
        <v>131</v>
      </c>
      <c r="F423" s="2">
        <v>45952</v>
      </c>
      <c r="G423" s="20">
        <v>270.12727272727267</v>
      </c>
      <c r="H423" s="20">
        <v>297.14</v>
      </c>
      <c r="I423" s="20">
        <v>302.64999999999998</v>
      </c>
      <c r="J423" s="20">
        <f t="shared" si="12"/>
        <v>27.012727272727318</v>
      </c>
      <c r="K423" s="20">
        <f t="shared" si="13"/>
        <v>27.012727272727318</v>
      </c>
      <c r="M423"/>
    </row>
    <row r="424" spans="1:13" x14ac:dyDescent="0.35">
      <c r="A424">
        <v>423</v>
      </c>
      <c r="B424" t="s">
        <v>759</v>
      </c>
      <c r="C424" t="s">
        <v>1075</v>
      </c>
      <c r="D424">
        <v>1</v>
      </c>
      <c r="E424" t="s">
        <v>131</v>
      </c>
      <c r="F424" s="2">
        <v>45952</v>
      </c>
      <c r="G424" s="20">
        <v>270.12727272727267</v>
      </c>
      <c r="H424" s="20">
        <v>297.14</v>
      </c>
      <c r="I424" s="20">
        <v>302.64999999999998</v>
      </c>
      <c r="J424" s="20">
        <f t="shared" si="12"/>
        <v>27.012727272727318</v>
      </c>
      <c r="K424" s="20">
        <f t="shared" si="13"/>
        <v>27.012727272727318</v>
      </c>
      <c r="M424"/>
    </row>
    <row r="425" spans="1:13" x14ac:dyDescent="0.35">
      <c r="A425">
        <v>424</v>
      </c>
      <c r="B425" t="s">
        <v>760</v>
      </c>
      <c r="C425" t="s">
        <v>366</v>
      </c>
      <c r="D425">
        <v>1</v>
      </c>
      <c r="E425" t="s">
        <v>131</v>
      </c>
      <c r="F425" s="2">
        <v>45952</v>
      </c>
      <c r="G425" s="20">
        <v>148.48181818181817</v>
      </c>
      <c r="H425" s="20">
        <v>163.33000000000001</v>
      </c>
      <c r="I425" s="20">
        <v>171.49</v>
      </c>
      <c r="J425" s="20">
        <f t="shared" si="12"/>
        <v>14.848181818181843</v>
      </c>
      <c r="K425" s="20">
        <f t="shared" si="13"/>
        <v>14.848181818181843</v>
      </c>
      <c r="M425"/>
    </row>
    <row r="426" spans="1:13" x14ac:dyDescent="0.35">
      <c r="A426">
        <v>425</v>
      </c>
      <c r="B426" t="s">
        <v>771</v>
      </c>
      <c r="C426" t="s">
        <v>361</v>
      </c>
      <c r="D426">
        <v>2</v>
      </c>
      <c r="E426" t="s">
        <v>37</v>
      </c>
      <c r="F426" s="2">
        <v>45952</v>
      </c>
      <c r="G426" s="20">
        <v>412.32727272727271</v>
      </c>
      <c r="H426" s="20">
        <v>453.56</v>
      </c>
      <c r="I426" s="20">
        <v>1038.29</v>
      </c>
      <c r="J426" s="20">
        <f t="shared" si="12"/>
        <v>41.232727272727288</v>
      </c>
      <c r="K426" s="20">
        <f t="shared" si="13"/>
        <v>82.465454545454577</v>
      </c>
      <c r="M426"/>
    </row>
    <row r="427" spans="1:13" x14ac:dyDescent="0.35">
      <c r="A427">
        <v>426</v>
      </c>
      <c r="B427" t="s">
        <v>772</v>
      </c>
      <c r="C427" t="s">
        <v>1076</v>
      </c>
      <c r="D427">
        <v>1</v>
      </c>
      <c r="E427" t="s">
        <v>37</v>
      </c>
      <c r="F427" s="2">
        <v>45952</v>
      </c>
      <c r="G427" s="20">
        <v>161.69090909090909</v>
      </c>
      <c r="H427" s="20">
        <v>177.86</v>
      </c>
      <c r="I427" s="20">
        <v>181.12</v>
      </c>
      <c r="J427" s="20">
        <f t="shared" si="12"/>
        <v>16.169090909090926</v>
      </c>
      <c r="K427" s="20">
        <f t="shared" si="13"/>
        <v>16.169090909090926</v>
      </c>
      <c r="M427"/>
    </row>
    <row r="428" spans="1:13" x14ac:dyDescent="0.35">
      <c r="A428">
        <v>427</v>
      </c>
      <c r="B428" t="s">
        <v>773</v>
      </c>
      <c r="C428" t="s">
        <v>361</v>
      </c>
      <c r="D428">
        <v>1</v>
      </c>
      <c r="E428" t="s">
        <v>37</v>
      </c>
      <c r="F428" s="2">
        <v>45952</v>
      </c>
      <c r="G428" s="20">
        <v>600.92727272727268</v>
      </c>
      <c r="H428" s="20">
        <v>661.02</v>
      </c>
      <c r="I428" s="20">
        <v>756.61</v>
      </c>
      <c r="J428" s="20">
        <f t="shared" si="12"/>
        <v>60.092727272727302</v>
      </c>
      <c r="K428" s="20">
        <f t="shared" si="13"/>
        <v>60.092727272727302</v>
      </c>
      <c r="M428"/>
    </row>
    <row r="429" spans="1:13" x14ac:dyDescent="0.35">
      <c r="A429">
        <v>428</v>
      </c>
      <c r="B429" t="s">
        <v>774</v>
      </c>
      <c r="C429" t="s">
        <v>359</v>
      </c>
      <c r="D429">
        <v>1</v>
      </c>
      <c r="E429" t="s">
        <v>95</v>
      </c>
      <c r="F429" s="2">
        <v>45952</v>
      </c>
      <c r="G429" s="20">
        <v>600.92727272727268</v>
      </c>
      <c r="H429" s="20">
        <v>661.02</v>
      </c>
      <c r="I429" s="20">
        <v>756.61</v>
      </c>
      <c r="J429" s="20">
        <f t="shared" si="12"/>
        <v>60.092727272727302</v>
      </c>
      <c r="K429" s="20">
        <f t="shared" si="13"/>
        <v>60.092727272727302</v>
      </c>
      <c r="M429"/>
    </row>
    <row r="430" spans="1:13" x14ac:dyDescent="0.35">
      <c r="A430">
        <v>429</v>
      </c>
      <c r="B430" t="s">
        <v>775</v>
      </c>
      <c r="C430" t="s">
        <v>369</v>
      </c>
      <c r="D430">
        <v>1</v>
      </c>
      <c r="E430" t="s">
        <v>37</v>
      </c>
      <c r="F430" s="2">
        <v>45952</v>
      </c>
      <c r="G430" s="20">
        <v>105.97272727272725</v>
      </c>
      <c r="H430" s="20">
        <v>116.57</v>
      </c>
      <c r="I430" s="20">
        <v>118.73</v>
      </c>
      <c r="J430" s="20">
        <f t="shared" si="12"/>
        <v>10.597272727272738</v>
      </c>
      <c r="K430" s="20">
        <f t="shared" si="13"/>
        <v>10.597272727272738</v>
      </c>
      <c r="M430"/>
    </row>
    <row r="431" spans="1:13" x14ac:dyDescent="0.35">
      <c r="A431">
        <v>430</v>
      </c>
      <c r="B431" t="s">
        <v>776</v>
      </c>
      <c r="C431" t="s">
        <v>361</v>
      </c>
      <c r="D431">
        <v>2</v>
      </c>
      <c r="E431" t="s">
        <v>37</v>
      </c>
      <c r="F431" s="2">
        <v>45952</v>
      </c>
      <c r="G431" s="20">
        <v>447.46363636363628</v>
      </c>
      <c r="H431" s="20">
        <v>492.21</v>
      </c>
      <c r="I431" s="20">
        <v>1126.77</v>
      </c>
      <c r="J431" s="20">
        <f t="shared" si="12"/>
        <v>44.746363636363697</v>
      </c>
      <c r="K431" s="20">
        <f t="shared" si="13"/>
        <v>89.492727272727393</v>
      </c>
      <c r="M431"/>
    </row>
    <row r="432" spans="1:13" x14ac:dyDescent="0.35">
      <c r="A432">
        <v>431</v>
      </c>
      <c r="B432" t="s">
        <v>777</v>
      </c>
      <c r="C432" t="s">
        <v>367</v>
      </c>
      <c r="D432">
        <v>3</v>
      </c>
      <c r="E432" t="s">
        <v>37</v>
      </c>
      <c r="F432" s="2">
        <v>45953</v>
      </c>
      <c r="G432" s="20">
        <v>40.709090909090904</v>
      </c>
      <c r="H432" s="20">
        <v>44.78</v>
      </c>
      <c r="I432" s="20">
        <v>136.83000000000001</v>
      </c>
      <c r="J432" s="20">
        <f t="shared" si="12"/>
        <v>4.0709090909090975</v>
      </c>
      <c r="K432" s="20">
        <f t="shared" si="13"/>
        <v>12.212727272727292</v>
      </c>
      <c r="M432"/>
    </row>
    <row r="433" spans="1:13" x14ac:dyDescent="0.35">
      <c r="A433">
        <v>432</v>
      </c>
      <c r="B433" t="s">
        <v>778</v>
      </c>
      <c r="C433" t="s">
        <v>1077</v>
      </c>
      <c r="D433">
        <v>1</v>
      </c>
      <c r="E433" t="s">
        <v>37</v>
      </c>
      <c r="F433" s="2">
        <v>45953</v>
      </c>
      <c r="G433" s="20">
        <v>246.42727272727271</v>
      </c>
      <c r="H433" s="20">
        <v>271.07</v>
      </c>
      <c r="I433" s="20">
        <v>276.08</v>
      </c>
      <c r="J433" s="20">
        <f t="shared" si="12"/>
        <v>24.642727272727285</v>
      </c>
      <c r="K433" s="20">
        <f t="shared" si="13"/>
        <v>24.642727272727285</v>
      </c>
      <c r="M433"/>
    </row>
    <row r="434" spans="1:13" x14ac:dyDescent="0.35">
      <c r="A434">
        <v>433</v>
      </c>
      <c r="B434" t="s">
        <v>779</v>
      </c>
      <c r="C434" t="s">
        <v>1076</v>
      </c>
      <c r="D434">
        <v>5</v>
      </c>
      <c r="E434" t="s">
        <v>37</v>
      </c>
      <c r="F434" s="2">
        <v>45953</v>
      </c>
      <c r="G434" s="20">
        <v>156.49090909090907</v>
      </c>
      <c r="H434" s="20">
        <v>172.14</v>
      </c>
      <c r="I434" s="20">
        <v>876.62</v>
      </c>
      <c r="J434" s="20">
        <f t="shared" si="12"/>
        <v>15.649090909090916</v>
      </c>
      <c r="K434" s="20">
        <f t="shared" si="13"/>
        <v>78.245454545454578</v>
      </c>
      <c r="M434"/>
    </row>
    <row r="435" spans="1:13" x14ac:dyDescent="0.35">
      <c r="A435">
        <v>434</v>
      </c>
      <c r="B435" t="s">
        <v>780</v>
      </c>
      <c r="C435" t="s">
        <v>361</v>
      </c>
      <c r="D435">
        <v>1</v>
      </c>
      <c r="E435" t="s">
        <v>37</v>
      </c>
      <c r="F435" s="2">
        <v>45953</v>
      </c>
      <c r="G435" s="20">
        <v>388.92727272727268</v>
      </c>
      <c r="H435" s="20">
        <v>427.82</v>
      </c>
      <c r="I435" s="20">
        <v>435.73</v>
      </c>
      <c r="J435" s="20">
        <f t="shared" si="12"/>
        <v>38.892727272727313</v>
      </c>
      <c r="K435" s="20">
        <f t="shared" si="13"/>
        <v>38.892727272727313</v>
      </c>
      <c r="M435"/>
    </row>
    <row r="436" spans="1:13" x14ac:dyDescent="0.35">
      <c r="A436">
        <v>435</v>
      </c>
      <c r="B436" t="s">
        <v>781</v>
      </c>
      <c r="C436" t="s">
        <v>1075</v>
      </c>
      <c r="D436">
        <v>10</v>
      </c>
      <c r="E436" t="s">
        <v>37</v>
      </c>
      <c r="F436" s="2">
        <v>45953</v>
      </c>
      <c r="G436" s="20">
        <v>33.327272727272721</v>
      </c>
      <c r="H436" s="20">
        <v>36.659999999999997</v>
      </c>
      <c r="I436" s="20">
        <v>373.38</v>
      </c>
      <c r="J436" s="20">
        <f t="shared" si="12"/>
        <v>3.3327272727272756</v>
      </c>
      <c r="K436" s="20">
        <f t="shared" si="13"/>
        <v>33.327272727272756</v>
      </c>
      <c r="M436"/>
    </row>
    <row r="437" spans="1:13" x14ac:dyDescent="0.35">
      <c r="A437">
        <v>436</v>
      </c>
      <c r="B437" t="s">
        <v>782</v>
      </c>
      <c r="C437" t="s">
        <v>367</v>
      </c>
      <c r="D437">
        <v>2</v>
      </c>
      <c r="E437" t="s">
        <v>37</v>
      </c>
      <c r="F437" s="2">
        <v>45953</v>
      </c>
      <c r="G437" s="20">
        <v>111.89090909090908</v>
      </c>
      <c r="H437" s="20">
        <v>123.08</v>
      </c>
      <c r="I437" s="20">
        <v>250.72</v>
      </c>
      <c r="J437" s="20">
        <f t="shared" si="12"/>
        <v>11.189090909090922</v>
      </c>
      <c r="K437" s="20">
        <f t="shared" si="13"/>
        <v>22.378181818181844</v>
      </c>
      <c r="M437"/>
    </row>
    <row r="438" spans="1:13" x14ac:dyDescent="0.35">
      <c r="A438">
        <v>437</v>
      </c>
      <c r="B438" t="s">
        <v>783</v>
      </c>
      <c r="C438" t="s">
        <v>365</v>
      </c>
      <c r="D438">
        <v>5</v>
      </c>
      <c r="E438" t="s">
        <v>37</v>
      </c>
      <c r="F438" s="2">
        <v>45953</v>
      </c>
      <c r="G438" s="20">
        <v>123.36363636363635</v>
      </c>
      <c r="H438" s="20">
        <v>135.69999999999999</v>
      </c>
      <c r="I438" s="20">
        <v>691.05</v>
      </c>
      <c r="J438" s="20">
        <f t="shared" si="12"/>
        <v>12.336363636363643</v>
      </c>
      <c r="K438" s="20">
        <f t="shared" si="13"/>
        <v>61.681818181818215</v>
      </c>
      <c r="M438"/>
    </row>
    <row r="439" spans="1:13" x14ac:dyDescent="0.35">
      <c r="A439">
        <v>438</v>
      </c>
      <c r="B439" t="s">
        <v>797</v>
      </c>
      <c r="C439" t="s">
        <v>1077</v>
      </c>
      <c r="D439">
        <v>3</v>
      </c>
      <c r="E439" t="s">
        <v>37</v>
      </c>
      <c r="F439" s="2">
        <v>45953</v>
      </c>
      <c r="G439" s="20">
        <v>187.49999999999997</v>
      </c>
      <c r="H439" s="20">
        <v>206.25</v>
      </c>
      <c r="I439" s="20">
        <v>630.19000000000005</v>
      </c>
      <c r="J439" s="20">
        <f t="shared" si="12"/>
        <v>18.750000000000028</v>
      </c>
      <c r="K439" s="20">
        <f t="shared" si="13"/>
        <v>56.250000000000085</v>
      </c>
      <c r="M439"/>
    </row>
    <row r="440" spans="1:13" x14ac:dyDescent="0.35">
      <c r="A440">
        <v>439</v>
      </c>
      <c r="B440" t="s">
        <v>798</v>
      </c>
      <c r="C440" t="s">
        <v>369</v>
      </c>
      <c r="D440">
        <v>2</v>
      </c>
      <c r="E440" t="s">
        <v>37</v>
      </c>
      <c r="F440" s="2">
        <v>45953</v>
      </c>
      <c r="G440" s="20">
        <v>36.709090909090911</v>
      </c>
      <c r="H440" s="20">
        <v>40.380000000000003</v>
      </c>
      <c r="I440" s="20">
        <v>82.26</v>
      </c>
      <c r="J440" s="20">
        <f t="shared" si="12"/>
        <v>3.6709090909090918</v>
      </c>
      <c r="K440" s="20">
        <f t="shared" si="13"/>
        <v>7.3418181818181836</v>
      </c>
      <c r="M440"/>
    </row>
    <row r="441" spans="1:13" x14ac:dyDescent="0.35">
      <c r="A441">
        <v>440</v>
      </c>
      <c r="B441" t="s">
        <v>799</v>
      </c>
      <c r="C441" t="s">
        <v>368</v>
      </c>
      <c r="D441">
        <v>25</v>
      </c>
      <c r="E441" t="s">
        <v>37</v>
      </c>
      <c r="F441" s="2">
        <v>45953</v>
      </c>
      <c r="G441" s="20">
        <v>27.218181818181819</v>
      </c>
      <c r="H441" s="20">
        <v>29.94</v>
      </c>
      <c r="I441" s="20">
        <v>785.92</v>
      </c>
      <c r="J441" s="20">
        <f t="shared" si="12"/>
        <v>2.7218181818181826</v>
      </c>
      <c r="K441" s="20">
        <f t="shared" si="13"/>
        <v>68.045454545454561</v>
      </c>
      <c r="M441"/>
    </row>
    <row r="442" spans="1:13" x14ac:dyDescent="0.35">
      <c r="A442">
        <v>441</v>
      </c>
      <c r="B442" t="s">
        <v>803</v>
      </c>
      <c r="C442" t="s">
        <v>1076</v>
      </c>
      <c r="D442">
        <v>3</v>
      </c>
      <c r="E442" t="s">
        <v>134</v>
      </c>
      <c r="F442" s="2">
        <v>45953</v>
      </c>
      <c r="G442" s="20">
        <v>334.41818181818178</v>
      </c>
      <c r="H442" s="20">
        <v>367.86</v>
      </c>
      <c r="I442" s="20">
        <v>1123.99</v>
      </c>
      <c r="J442" s="20">
        <f t="shared" si="12"/>
        <v>33.441818181818235</v>
      </c>
      <c r="K442" s="20">
        <f t="shared" si="13"/>
        <v>100.3254545454547</v>
      </c>
      <c r="M442"/>
    </row>
    <row r="443" spans="1:13" x14ac:dyDescent="0.35">
      <c r="A443">
        <v>442</v>
      </c>
      <c r="B443" t="s">
        <v>804</v>
      </c>
      <c r="C443" t="s">
        <v>1075</v>
      </c>
      <c r="D443">
        <v>3</v>
      </c>
      <c r="E443" t="s">
        <v>134</v>
      </c>
      <c r="F443" s="2">
        <v>45953</v>
      </c>
      <c r="G443" s="20">
        <v>19.963636363636361</v>
      </c>
      <c r="H443" s="20">
        <v>21.96</v>
      </c>
      <c r="I443" s="20">
        <v>67.099999999999994</v>
      </c>
      <c r="J443" s="20">
        <f t="shared" si="12"/>
        <v>1.9963636363636397</v>
      </c>
      <c r="K443" s="20">
        <f t="shared" si="13"/>
        <v>5.989090909090919</v>
      </c>
      <c r="M443"/>
    </row>
    <row r="444" spans="1:13" x14ac:dyDescent="0.35">
      <c r="A444">
        <v>443</v>
      </c>
      <c r="B444" t="s">
        <v>805</v>
      </c>
      <c r="C444" t="s">
        <v>361</v>
      </c>
      <c r="D444">
        <v>1</v>
      </c>
      <c r="E444" t="s">
        <v>134</v>
      </c>
      <c r="F444" s="2">
        <v>45953</v>
      </c>
      <c r="G444" s="20">
        <v>575.65454545454543</v>
      </c>
      <c r="H444" s="20">
        <v>633.22</v>
      </c>
      <c r="I444" s="20">
        <v>724.78</v>
      </c>
      <c r="J444" s="20">
        <f t="shared" si="12"/>
        <v>57.5654545454546</v>
      </c>
      <c r="K444" s="20">
        <f t="shared" si="13"/>
        <v>57.5654545454546</v>
      </c>
      <c r="M444"/>
    </row>
    <row r="445" spans="1:13" x14ac:dyDescent="0.35">
      <c r="A445">
        <v>444</v>
      </c>
      <c r="B445" t="s">
        <v>219</v>
      </c>
      <c r="C445" t="s">
        <v>1076</v>
      </c>
      <c r="D445">
        <v>6</v>
      </c>
      <c r="E445" t="s">
        <v>134</v>
      </c>
      <c r="F445" s="2">
        <v>45953</v>
      </c>
      <c r="G445" s="20">
        <v>120.12727272727271</v>
      </c>
      <c r="H445" s="20">
        <v>132.13999999999999</v>
      </c>
      <c r="I445" s="20">
        <v>807.51</v>
      </c>
      <c r="J445" s="20">
        <f t="shared" si="12"/>
        <v>12.012727272727275</v>
      </c>
      <c r="K445" s="20">
        <f t="shared" si="13"/>
        <v>72.076363636363652</v>
      </c>
      <c r="M445"/>
    </row>
    <row r="446" spans="1:13" x14ac:dyDescent="0.35">
      <c r="A446">
        <v>445</v>
      </c>
      <c r="B446" t="s">
        <v>809</v>
      </c>
      <c r="C446" t="s">
        <v>361</v>
      </c>
      <c r="D446">
        <v>1</v>
      </c>
      <c r="E446" t="s">
        <v>134</v>
      </c>
      <c r="F446" s="2">
        <v>45953</v>
      </c>
      <c r="G446" s="20">
        <v>198.09090909090909</v>
      </c>
      <c r="H446" s="20">
        <v>217.9</v>
      </c>
      <c r="I446" s="20">
        <v>221.92</v>
      </c>
      <c r="J446" s="20">
        <f t="shared" si="12"/>
        <v>19.809090909090912</v>
      </c>
      <c r="K446" s="20">
        <f t="shared" si="13"/>
        <v>19.809090909090912</v>
      </c>
      <c r="M446"/>
    </row>
    <row r="447" spans="1:13" x14ac:dyDescent="0.35">
      <c r="A447">
        <v>446</v>
      </c>
      <c r="B447" t="s">
        <v>810</v>
      </c>
      <c r="C447" t="s">
        <v>363</v>
      </c>
      <c r="D447">
        <v>1</v>
      </c>
      <c r="E447" t="s">
        <v>134</v>
      </c>
      <c r="F447" s="2">
        <v>45953</v>
      </c>
      <c r="G447" s="20">
        <v>1040.0636363636363</v>
      </c>
      <c r="H447" s="20">
        <v>1144.07</v>
      </c>
      <c r="I447" s="20">
        <v>1350.01</v>
      </c>
      <c r="J447" s="20">
        <f t="shared" si="12"/>
        <v>104.00636363636363</v>
      </c>
      <c r="K447" s="20">
        <f t="shared" si="13"/>
        <v>104.00636363636363</v>
      </c>
      <c r="M447"/>
    </row>
    <row r="448" spans="1:13" x14ac:dyDescent="0.35">
      <c r="A448">
        <v>447</v>
      </c>
      <c r="B448" t="s">
        <v>812</v>
      </c>
      <c r="C448" t="s">
        <v>367</v>
      </c>
      <c r="D448">
        <v>2</v>
      </c>
      <c r="E448" t="s">
        <v>602</v>
      </c>
      <c r="F448" s="2">
        <v>45954</v>
      </c>
      <c r="G448" s="20">
        <v>35.709090909090911</v>
      </c>
      <c r="H448" s="20">
        <v>39.28</v>
      </c>
      <c r="I448" s="20">
        <v>79.98</v>
      </c>
      <c r="J448" s="20">
        <f t="shared" si="12"/>
        <v>3.5709090909090904</v>
      </c>
      <c r="K448" s="20">
        <f t="shared" si="13"/>
        <v>7.1418181818181807</v>
      </c>
      <c r="M448"/>
    </row>
    <row r="449" spans="1:13" x14ac:dyDescent="0.35">
      <c r="A449">
        <v>448</v>
      </c>
      <c r="B449" t="s">
        <v>813</v>
      </c>
      <c r="C449" t="s">
        <v>1076</v>
      </c>
      <c r="D449">
        <v>1</v>
      </c>
      <c r="E449" t="s">
        <v>602</v>
      </c>
      <c r="F449" s="2">
        <v>45954</v>
      </c>
      <c r="G449" s="20">
        <v>245.45454545454544</v>
      </c>
      <c r="H449" s="20">
        <v>270</v>
      </c>
      <c r="I449" s="20">
        <v>275</v>
      </c>
      <c r="J449" s="20">
        <f t="shared" si="12"/>
        <v>24.545454545454561</v>
      </c>
      <c r="K449" s="20">
        <f t="shared" si="13"/>
        <v>24.545454545454561</v>
      </c>
      <c r="M449"/>
    </row>
    <row r="450" spans="1:13" x14ac:dyDescent="0.35">
      <c r="A450">
        <v>449</v>
      </c>
      <c r="B450" t="s">
        <v>814</v>
      </c>
      <c r="C450" t="s">
        <v>1076</v>
      </c>
      <c r="D450">
        <v>3</v>
      </c>
      <c r="E450" t="s">
        <v>602</v>
      </c>
      <c r="F450" s="2">
        <v>45954</v>
      </c>
      <c r="G450" s="20">
        <v>75.972727272727255</v>
      </c>
      <c r="H450" s="20">
        <v>83.57</v>
      </c>
      <c r="I450" s="20">
        <v>212.79</v>
      </c>
      <c r="J450" s="20">
        <f t="shared" ref="J450:J513" si="14">H450-G450</f>
        <v>7.5972727272727383</v>
      </c>
      <c r="K450" s="20">
        <f t="shared" ref="K450:K513" si="15">J450*D450</f>
        <v>22.791818181818215</v>
      </c>
      <c r="M450"/>
    </row>
    <row r="451" spans="1:13" x14ac:dyDescent="0.35">
      <c r="A451">
        <v>450</v>
      </c>
      <c r="B451" t="s">
        <v>815</v>
      </c>
      <c r="C451" t="s">
        <v>361</v>
      </c>
      <c r="D451">
        <v>2</v>
      </c>
      <c r="E451" t="s">
        <v>602</v>
      </c>
      <c r="F451" s="2">
        <v>45954</v>
      </c>
      <c r="G451" s="20">
        <v>169.49090909090907</v>
      </c>
      <c r="H451" s="20">
        <v>186.44</v>
      </c>
      <c r="I451" s="20">
        <v>379.76</v>
      </c>
      <c r="J451" s="20">
        <f t="shared" si="14"/>
        <v>16.949090909090927</v>
      </c>
      <c r="K451" s="20">
        <f t="shared" si="15"/>
        <v>33.898181818181854</v>
      </c>
      <c r="M451"/>
    </row>
    <row r="452" spans="1:13" x14ac:dyDescent="0.35">
      <c r="A452">
        <v>451</v>
      </c>
      <c r="B452" t="s">
        <v>816</v>
      </c>
      <c r="C452" t="s">
        <v>361</v>
      </c>
      <c r="D452">
        <v>1</v>
      </c>
      <c r="E452" t="s">
        <v>602</v>
      </c>
      <c r="F452" s="2">
        <v>45954</v>
      </c>
      <c r="G452" s="20">
        <v>391.37272727272722</v>
      </c>
      <c r="H452" s="20">
        <v>430.51</v>
      </c>
      <c r="I452" s="20">
        <v>492.79</v>
      </c>
      <c r="J452" s="20">
        <f t="shared" si="14"/>
        <v>39.137272727272773</v>
      </c>
      <c r="K452" s="20">
        <f t="shared" si="15"/>
        <v>39.137272727272773</v>
      </c>
      <c r="M452"/>
    </row>
    <row r="453" spans="1:13" x14ac:dyDescent="0.35">
      <c r="A453">
        <v>452</v>
      </c>
      <c r="B453" t="s">
        <v>817</v>
      </c>
      <c r="C453" t="s">
        <v>361</v>
      </c>
      <c r="D453">
        <v>3</v>
      </c>
      <c r="E453" t="s">
        <v>602</v>
      </c>
      <c r="F453" s="2">
        <v>45954</v>
      </c>
      <c r="G453" s="20">
        <v>388.96363636363634</v>
      </c>
      <c r="H453" s="20">
        <v>427.86</v>
      </c>
      <c r="I453" s="20">
        <v>871.52</v>
      </c>
      <c r="J453" s="20">
        <f t="shared" si="14"/>
        <v>38.896363636363674</v>
      </c>
      <c r="K453" s="20">
        <f t="shared" si="15"/>
        <v>116.68909090909102</v>
      </c>
      <c r="M453"/>
    </row>
    <row r="454" spans="1:13" x14ac:dyDescent="0.35">
      <c r="A454">
        <v>453</v>
      </c>
      <c r="B454" t="s">
        <v>818</v>
      </c>
      <c r="C454" t="s">
        <v>369</v>
      </c>
      <c r="D454">
        <v>1</v>
      </c>
      <c r="E454" t="s">
        <v>602</v>
      </c>
      <c r="F454" s="2">
        <v>45954</v>
      </c>
      <c r="G454" s="20">
        <v>75.86363636363636</v>
      </c>
      <c r="H454" s="20">
        <v>83.45</v>
      </c>
      <c r="I454" s="20">
        <v>95.54</v>
      </c>
      <c r="J454" s="20">
        <f t="shared" si="14"/>
        <v>7.5863636363636431</v>
      </c>
      <c r="K454" s="20">
        <f t="shared" si="15"/>
        <v>7.5863636363636431</v>
      </c>
      <c r="M454"/>
    </row>
    <row r="455" spans="1:13" x14ac:dyDescent="0.35">
      <c r="A455">
        <v>454</v>
      </c>
      <c r="B455" t="s">
        <v>818</v>
      </c>
      <c r="C455" t="s">
        <v>369</v>
      </c>
      <c r="D455">
        <v>1</v>
      </c>
      <c r="E455" t="s">
        <v>602</v>
      </c>
      <c r="F455" s="2">
        <v>45954</v>
      </c>
      <c r="G455" s="20">
        <v>75.86363636363636</v>
      </c>
      <c r="H455" s="20">
        <v>83.45</v>
      </c>
      <c r="I455" s="20">
        <v>95.54</v>
      </c>
      <c r="J455" s="20">
        <f t="shared" si="14"/>
        <v>7.5863636363636431</v>
      </c>
      <c r="K455" s="20">
        <f t="shared" si="15"/>
        <v>7.5863636363636431</v>
      </c>
      <c r="M455"/>
    </row>
    <row r="456" spans="1:13" x14ac:dyDescent="0.35">
      <c r="A456">
        <v>455</v>
      </c>
      <c r="B456" t="s">
        <v>819</v>
      </c>
      <c r="C456" t="s">
        <v>1075</v>
      </c>
      <c r="D456">
        <v>2</v>
      </c>
      <c r="E456" t="s">
        <v>602</v>
      </c>
      <c r="F456" s="2">
        <v>45954</v>
      </c>
      <c r="G456" s="20">
        <v>16.827272727272728</v>
      </c>
      <c r="H456" s="20">
        <v>18.510000000000002</v>
      </c>
      <c r="I456" s="20">
        <v>37.72</v>
      </c>
      <c r="J456" s="20">
        <f t="shared" si="14"/>
        <v>1.6827272727272735</v>
      </c>
      <c r="K456" s="20">
        <f t="shared" si="15"/>
        <v>3.365454545454547</v>
      </c>
      <c r="M456"/>
    </row>
    <row r="457" spans="1:13" x14ac:dyDescent="0.35">
      <c r="A457">
        <v>456</v>
      </c>
      <c r="B457" t="s">
        <v>828</v>
      </c>
      <c r="C457" t="s">
        <v>361</v>
      </c>
      <c r="D457">
        <v>12</v>
      </c>
      <c r="E457" t="s">
        <v>836</v>
      </c>
      <c r="F457" s="2">
        <v>45954</v>
      </c>
      <c r="G457" s="20">
        <v>319.91818181818201</v>
      </c>
      <c r="H457" s="20">
        <v>351.91</v>
      </c>
      <c r="I457" s="20">
        <v>3519.1</v>
      </c>
      <c r="J457" s="20">
        <f t="shared" si="14"/>
        <v>31.991818181818019</v>
      </c>
      <c r="K457" s="20">
        <f t="shared" si="15"/>
        <v>383.90181818181622</v>
      </c>
      <c r="M457"/>
    </row>
    <row r="458" spans="1:13" x14ac:dyDescent="0.35">
      <c r="A458">
        <v>457</v>
      </c>
      <c r="B458" t="s">
        <v>829</v>
      </c>
      <c r="C458" t="s">
        <v>1076</v>
      </c>
      <c r="D458">
        <v>12</v>
      </c>
      <c r="E458" t="s">
        <v>836</v>
      </c>
      <c r="F458" s="2">
        <v>45954</v>
      </c>
      <c r="G458" s="20">
        <v>279.21818181818179</v>
      </c>
      <c r="H458" s="20">
        <v>307.14</v>
      </c>
      <c r="I458" s="20">
        <v>3071.4</v>
      </c>
      <c r="J458" s="20">
        <f t="shared" si="14"/>
        <v>27.921818181818196</v>
      </c>
      <c r="K458" s="20">
        <f t="shared" si="15"/>
        <v>335.06181818181835</v>
      </c>
      <c r="M458"/>
    </row>
    <row r="459" spans="1:13" x14ac:dyDescent="0.35">
      <c r="A459">
        <v>458</v>
      </c>
      <c r="B459" t="s">
        <v>830</v>
      </c>
      <c r="C459" t="s">
        <v>1076</v>
      </c>
      <c r="D459">
        <v>24</v>
      </c>
      <c r="E459" t="s">
        <v>836</v>
      </c>
      <c r="F459" s="2">
        <v>45954</v>
      </c>
      <c r="G459" s="20">
        <v>100.64545454545453</v>
      </c>
      <c r="H459" s="20">
        <v>110.71</v>
      </c>
      <c r="I459" s="20">
        <v>2214.1999999999998</v>
      </c>
      <c r="J459" s="20">
        <f t="shared" si="14"/>
        <v>10.064545454545467</v>
      </c>
      <c r="K459" s="20">
        <f t="shared" si="15"/>
        <v>241.54909090909121</v>
      </c>
      <c r="M459"/>
    </row>
    <row r="460" spans="1:13" x14ac:dyDescent="0.35">
      <c r="A460">
        <v>459</v>
      </c>
      <c r="B460" t="s">
        <v>831</v>
      </c>
      <c r="C460" t="s">
        <v>1076</v>
      </c>
      <c r="D460">
        <v>12</v>
      </c>
      <c r="E460" t="s">
        <v>836</v>
      </c>
      <c r="F460" s="2">
        <v>45954</v>
      </c>
      <c r="G460" s="20">
        <v>126.62727272727271</v>
      </c>
      <c r="H460" s="20">
        <v>139.29</v>
      </c>
      <c r="I460" s="20">
        <v>1392.9</v>
      </c>
      <c r="J460" s="20">
        <f t="shared" si="14"/>
        <v>12.662727272727281</v>
      </c>
      <c r="K460" s="20">
        <f t="shared" si="15"/>
        <v>151.95272727272737</v>
      </c>
      <c r="M460"/>
    </row>
    <row r="461" spans="1:13" x14ac:dyDescent="0.35">
      <c r="A461">
        <v>460</v>
      </c>
      <c r="B461" t="s">
        <v>837</v>
      </c>
      <c r="C461" t="s">
        <v>363</v>
      </c>
      <c r="D461">
        <v>5</v>
      </c>
      <c r="E461" t="s">
        <v>37</v>
      </c>
      <c r="F461" s="2">
        <v>45955</v>
      </c>
      <c r="G461" s="20">
        <v>43.645454545454541</v>
      </c>
      <c r="H461" s="20">
        <v>48.01</v>
      </c>
      <c r="I461" s="20">
        <v>247.01</v>
      </c>
      <c r="J461" s="20">
        <f t="shared" si="14"/>
        <v>4.3645454545454569</v>
      </c>
      <c r="K461" s="20">
        <f t="shared" si="15"/>
        <v>21.822727272727285</v>
      </c>
      <c r="M461"/>
    </row>
    <row r="462" spans="1:13" x14ac:dyDescent="0.35">
      <c r="A462">
        <v>461</v>
      </c>
      <c r="B462" t="s">
        <v>838</v>
      </c>
      <c r="C462" t="s">
        <v>1077</v>
      </c>
      <c r="D462">
        <v>8</v>
      </c>
      <c r="E462" t="s">
        <v>37</v>
      </c>
      <c r="F462" s="2">
        <v>45955</v>
      </c>
      <c r="G462" s="20">
        <v>107.36363636363635</v>
      </c>
      <c r="H462" s="20">
        <v>118.1</v>
      </c>
      <c r="I462" s="20">
        <v>962.28</v>
      </c>
      <c r="J462" s="20">
        <f t="shared" si="14"/>
        <v>10.736363636363649</v>
      </c>
      <c r="K462" s="20">
        <f t="shared" si="15"/>
        <v>85.89090909090919</v>
      </c>
      <c r="M462"/>
    </row>
    <row r="463" spans="1:13" x14ac:dyDescent="0.35">
      <c r="A463">
        <v>462</v>
      </c>
      <c r="B463" t="s">
        <v>525</v>
      </c>
      <c r="C463" t="s">
        <v>368</v>
      </c>
      <c r="D463">
        <v>1</v>
      </c>
      <c r="E463" t="s">
        <v>37</v>
      </c>
      <c r="F463" s="2">
        <v>45955</v>
      </c>
      <c r="G463" s="20">
        <v>84</v>
      </c>
      <c r="H463" s="20">
        <v>92.4</v>
      </c>
      <c r="I463" s="20">
        <v>94.11</v>
      </c>
      <c r="J463" s="20">
        <f t="shared" si="14"/>
        <v>8.4000000000000057</v>
      </c>
      <c r="K463" s="20">
        <f t="shared" si="15"/>
        <v>8.4000000000000057</v>
      </c>
      <c r="M463"/>
    </row>
    <row r="464" spans="1:13" x14ac:dyDescent="0.35">
      <c r="A464">
        <v>463</v>
      </c>
      <c r="B464" t="s">
        <v>839</v>
      </c>
      <c r="C464" t="s">
        <v>361</v>
      </c>
      <c r="D464">
        <v>2</v>
      </c>
      <c r="E464" t="s">
        <v>37</v>
      </c>
      <c r="F464" s="2">
        <v>45955</v>
      </c>
      <c r="G464" s="20">
        <v>212.19090909090906</v>
      </c>
      <c r="H464" s="20">
        <v>233.41</v>
      </c>
      <c r="I464" s="20">
        <v>550.84</v>
      </c>
      <c r="J464" s="20">
        <f t="shared" si="14"/>
        <v>21.219090909090937</v>
      </c>
      <c r="K464" s="20">
        <f t="shared" si="15"/>
        <v>42.438181818181874</v>
      </c>
      <c r="M464"/>
    </row>
    <row r="465" spans="1:13" x14ac:dyDescent="0.35">
      <c r="A465">
        <v>464</v>
      </c>
      <c r="B465" t="s">
        <v>716</v>
      </c>
      <c r="C465" t="s">
        <v>365</v>
      </c>
      <c r="D465">
        <v>10</v>
      </c>
      <c r="E465" t="s">
        <v>37</v>
      </c>
      <c r="F465" s="2">
        <v>45955</v>
      </c>
      <c r="G465" s="20">
        <v>81.818181818181813</v>
      </c>
      <c r="H465" s="20">
        <v>90</v>
      </c>
      <c r="I465" s="20">
        <v>916.66</v>
      </c>
      <c r="J465" s="20">
        <f t="shared" si="14"/>
        <v>8.181818181818187</v>
      </c>
      <c r="K465" s="20">
        <f t="shared" si="15"/>
        <v>81.81818181818187</v>
      </c>
      <c r="M465"/>
    </row>
    <row r="466" spans="1:13" x14ac:dyDescent="0.35">
      <c r="A466">
        <v>465</v>
      </c>
      <c r="B466" t="s">
        <v>840</v>
      </c>
      <c r="C466" t="s">
        <v>1077</v>
      </c>
      <c r="D466">
        <v>1</v>
      </c>
      <c r="E466" t="s">
        <v>37</v>
      </c>
      <c r="F466" s="2">
        <v>45955</v>
      </c>
      <c r="G466" s="20">
        <v>350.36363636363632</v>
      </c>
      <c r="H466" s="20">
        <v>385.4</v>
      </c>
      <c r="I466" s="20">
        <v>392.54</v>
      </c>
      <c r="J466" s="20">
        <f t="shared" si="14"/>
        <v>35.03636363636366</v>
      </c>
      <c r="K466" s="20">
        <f t="shared" si="15"/>
        <v>35.03636363636366</v>
      </c>
      <c r="M466"/>
    </row>
    <row r="467" spans="1:13" x14ac:dyDescent="0.35">
      <c r="A467">
        <v>466</v>
      </c>
      <c r="B467" t="s">
        <v>841</v>
      </c>
      <c r="C467" t="s">
        <v>364</v>
      </c>
      <c r="D467">
        <v>4</v>
      </c>
      <c r="E467" t="s">
        <v>37</v>
      </c>
      <c r="F467" s="2">
        <v>45955</v>
      </c>
      <c r="G467" s="20">
        <v>91.881818181818161</v>
      </c>
      <c r="H467" s="20">
        <v>101.07</v>
      </c>
      <c r="I467" s="20">
        <v>411.75</v>
      </c>
      <c r="J467" s="20">
        <f t="shared" si="14"/>
        <v>9.1881818181818318</v>
      </c>
      <c r="K467" s="20">
        <f t="shared" si="15"/>
        <v>36.752727272727327</v>
      </c>
      <c r="M467"/>
    </row>
    <row r="468" spans="1:13" x14ac:dyDescent="0.35">
      <c r="A468">
        <v>467</v>
      </c>
      <c r="B468" t="s">
        <v>842</v>
      </c>
      <c r="C468" t="s">
        <v>365</v>
      </c>
      <c r="D468">
        <v>2</v>
      </c>
      <c r="E468" t="s">
        <v>37</v>
      </c>
      <c r="F468" s="2">
        <v>45955</v>
      </c>
      <c r="G468" s="20">
        <v>228.99090909090907</v>
      </c>
      <c r="H468" s="20">
        <v>251.89</v>
      </c>
      <c r="I468" s="20">
        <v>513.11</v>
      </c>
      <c r="J468" s="20">
        <f t="shared" si="14"/>
        <v>22.899090909090916</v>
      </c>
      <c r="K468" s="20">
        <f t="shared" si="15"/>
        <v>45.798181818181831</v>
      </c>
      <c r="M468"/>
    </row>
    <row r="469" spans="1:13" x14ac:dyDescent="0.35">
      <c r="A469">
        <v>468</v>
      </c>
      <c r="B469" t="s">
        <v>654</v>
      </c>
      <c r="C469" t="s">
        <v>1077</v>
      </c>
      <c r="D469">
        <v>2</v>
      </c>
      <c r="E469" t="s">
        <v>37</v>
      </c>
      <c r="F469" s="2">
        <v>45955</v>
      </c>
      <c r="G469" s="20">
        <v>90.945454545454538</v>
      </c>
      <c r="H469" s="20">
        <v>100.04</v>
      </c>
      <c r="I469" s="20">
        <v>203.78</v>
      </c>
      <c r="J469" s="20">
        <f t="shared" si="14"/>
        <v>9.094545454545468</v>
      </c>
      <c r="K469" s="20">
        <f t="shared" si="15"/>
        <v>18.189090909090936</v>
      </c>
      <c r="M469"/>
    </row>
    <row r="470" spans="1:13" x14ac:dyDescent="0.35">
      <c r="A470">
        <v>469</v>
      </c>
      <c r="B470" t="s">
        <v>843</v>
      </c>
      <c r="C470" t="s">
        <v>1076</v>
      </c>
      <c r="D470">
        <v>1</v>
      </c>
      <c r="E470" t="s">
        <v>37</v>
      </c>
      <c r="F470" s="2">
        <v>45955</v>
      </c>
      <c r="G470" s="20">
        <v>58.263636363636365</v>
      </c>
      <c r="H470" s="20">
        <v>64.09</v>
      </c>
      <c r="I470" s="20">
        <v>65.27</v>
      </c>
      <c r="J470" s="20">
        <f t="shared" si="14"/>
        <v>5.826363636363638</v>
      </c>
      <c r="K470" s="20">
        <f t="shared" si="15"/>
        <v>5.826363636363638</v>
      </c>
      <c r="M470"/>
    </row>
    <row r="471" spans="1:13" x14ac:dyDescent="0.35">
      <c r="A471">
        <v>470</v>
      </c>
      <c r="B471" t="s">
        <v>844</v>
      </c>
      <c r="C471" t="s">
        <v>364</v>
      </c>
      <c r="D471">
        <v>4</v>
      </c>
      <c r="E471" t="s">
        <v>37</v>
      </c>
      <c r="F471" s="2">
        <v>45955</v>
      </c>
      <c r="G471" s="20">
        <v>260.42727272727274</v>
      </c>
      <c r="H471" s="20">
        <v>286.47000000000003</v>
      </c>
      <c r="I471" s="20">
        <v>1167.08</v>
      </c>
      <c r="J471" s="20">
        <f t="shared" si="14"/>
        <v>26.042727272727291</v>
      </c>
      <c r="K471" s="20">
        <f t="shared" si="15"/>
        <v>104.17090909090916</v>
      </c>
      <c r="M471"/>
    </row>
    <row r="472" spans="1:13" x14ac:dyDescent="0.35">
      <c r="A472">
        <v>471</v>
      </c>
      <c r="B472" t="s">
        <v>845</v>
      </c>
      <c r="C472" t="s">
        <v>361</v>
      </c>
      <c r="D472">
        <v>1</v>
      </c>
      <c r="E472" t="s">
        <v>37</v>
      </c>
      <c r="F472" s="2">
        <v>45955</v>
      </c>
      <c r="G472" s="20">
        <v>300.15454545454543</v>
      </c>
      <c r="H472" s="20">
        <v>330.17</v>
      </c>
      <c r="I472" s="20">
        <v>377.9</v>
      </c>
      <c r="J472" s="20">
        <f t="shared" si="14"/>
        <v>30.015454545454588</v>
      </c>
      <c r="K472" s="20">
        <f t="shared" si="15"/>
        <v>30.015454545454588</v>
      </c>
      <c r="M472"/>
    </row>
    <row r="473" spans="1:13" x14ac:dyDescent="0.35">
      <c r="A473">
        <v>472</v>
      </c>
      <c r="B473" t="s">
        <v>846</v>
      </c>
      <c r="C473" t="s">
        <v>1076</v>
      </c>
      <c r="D473">
        <v>1</v>
      </c>
      <c r="E473" t="s">
        <v>37</v>
      </c>
      <c r="F473" s="2">
        <v>45955</v>
      </c>
      <c r="G473" s="20">
        <v>48.699999999999996</v>
      </c>
      <c r="H473" s="20">
        <v>53.57</v>
      </c>
      <c r="I473" s="20">
        <v>54.56</v>
      </c>
      <c r="J473" s="20">
        <f t="shared" si="14"/>
        <v>4.8700000000000045</v>
      </c>
      <c r="K473" s="20">
        <f t="shared" si="15"/>
        <v>4.8700000000000045</v>
      </c>
      <c r="M473"/>
    </row>
    <row r="474" spans="1:13" x14ac:dyDescent="0.35">
      <c r="A474">
        <v>473</v>
      </c>
      <c r="B474" t="s">
        <v>856</v>
      </c>
      <c r="C474" t="s">
        <v>367</v>
      </c>
      <c r="D474">
        <v>3</v>
      </c>
      <c r="E474" t="s">
        <v>37</v>
      </c>
      <c r="F474" s="2">
        <v>45955</v>
      </c>
      <c r="G474" s="20">
        <v>148.20909090909089</v>
      </c>
      <c r="H474" s="20">
        <v>163.03</v>
      </c>
      <c r="I474" s="20">
        <v>498.14</v>
      </c>
      <c r="J474" s="20">
        <f t="shared" si="14"/>
        <v>14.820909090909112</v>
      </c>
      <c r="K474" s="20">
        <f t="shared" si="15"/>
        <v>44.462727272727335</v>
      </c>
      <c r="M474"/>
    </row>
    <row r="475" spans="1:13" x14ac:dyDescent="0.35">
      <c r="A475">
        <v>474</v>
      </c>
      <c r="B475" t="s">
        <v>857</v>
      </c>
      <c r="C475" t="s">
        <v>1076</v>
      </c>
      <c r="D475">
        <v>1</v>
      </c>
      <c r="E475" t="s">
        <v>37</v>
      </c>
      <c r="F475" s="2">
        <v>45955</v>
      </c>
      <c r="G475" s="20">
        <v>68.654545454545442</v>
      </c>
      <c r="H475" s="20">
        <v>75.52</v>
      </c>
      <c r="I475" s="20">
        <v>76.91</v>
      </c>
      <c r="J475" s="20">
        <f t="shared" si="14"/>
        <v>6.8654545454545541</v>
      </c>
      <c r="K475" s="20">
        <f t="shared" si="15"/>
        <v>6.8654545454545541</v>
      </c>
      <c r="M475"/>
    </row>
    <row r="476" spans="1:13" x14ac:dyDescent="0.35">
      <c r="A476">
        <v>475</v>
      </c>
      <c r="B476" t="s">
        <v>858</v>
      </c>
      <c r="C476" t="s">
        <v>367</v>
      </c>
      <c r="D476">
        <v>6</v>
      </c>
      <c r="E476" t="s">
        <v>37</v>
      </c>
      <c r="F476" s="2">
        <v>45955</v>
      </c>
      <c r="G476" s="20">
        <v>24.381818181818179</v>
      </c>
      <c r="H476" s="20">
        <v>26.82</v>
      </c>
      <c r="I476" s="20">
        <v>163.89</v>
      </c>
      <c r="J476" s="20">
        <f t="shared" si="14"/>
        <v>2.4381818181818211</v>
      </c>
      <c r="K476" s="20">
        <f t="shared" si="15"/>
        <v>14.629090909090927</v>
      </c>
      <c r="M476"/>
    </row>
    <row r="477" spans="1:13" x14ac:dyDescent="0.35">
      <c r="A477">
        <v>476</v>
      </c>
      <c r="B477" t="s">
        <v>337</v>
      </c>
      <c r="C477" t="s">
        <v>1075</v>
      </c>
      <c r="D477">
        <v>1</v>
      </c>
      <c r="E477" t="s">
        <v>37</v>
      </c>
      <c r="F477" s="2">
        <v>45955</v>
      </c>
      <c r="G477" s="20">
        <v>227.27272727272725</v>
      </c>
      <c r="H477" s="20">
        <v>250</v>
      </c>
      <c r="I477" s="20">
        <v>254.62</v>
      </c>
      <c r="J477" s="20">
        <f t="shared" si="14"/>
        <v>22.727272727272748</v>
      </c>
      <c r="K477" s="20">
        <f t="shared" si="15"/>
        <v>22.727272727272748</v>
      </c>
      <c r="M477"/>
    </row>
    <row r="478" spans="1:13" x14ac:dyDescent="0.35">
      <c r="A478">
        <v>477</v>
      </c>
      <c r="B478" t="s">
        <v>859</v>
      </c>
      <c r="C478" t="s">
        <v>366</v>
      </c>
      <c r="D478">
        <v>1</v>
      </c>
      <c r="E478" t="s">
        <v>37</v>
      </c>
      <c r="F478" s="2">
        <v>45955</v>
      </c>
      <c r="G478" s="20">
        <v>107.07272727272726</v>
      </c>
      <c r="H478" s="20">
        <v>117.78</v>
      </c>
      <c r="I478" s="20">
        <v>119.97</v>
      </c>
      <c r="J478" s="20">
        <f t="shared" si="14"/>
        <v>10.707272727272738</v>
      </c>
      <c r="K478" s="20">
        <f t="shared" si="15"/>
        <v>10.707272727272738</v>
      </c>
      <c r="M478"/>
    </row>
    <row r="479" spans="1:13" x14ac:dyDescent="0.35">
      <c r="A479">
        <v>478</v>
      </c>
      <c r="B479" t="s">
        <v>860</v>
      </c>
      <c r="C479" t="s">
        <v>368</v>
      </c>
      <c r="D479">
        <v>2</v>
      </c>
      <c r="E479" t="s">
        <v>37</v>
      </c>
      <c r="F479" s="2">
        <v>45955</v>
      </c>
      <c r="G479" s="20">
        <v>116.92727272727272</v>
      </c>
      <c r="H479" s="20">
        <v>128.62</v>
      </c>
      <c r="I479" s="20">
        <v>262</v>
      </c>
      <c r="J479" s="20">
        <f t="shared" si="14"/>
        <v>11.692727272727282</v>
      </c>
      <c r="K479" s="20">
        <f t="shared" si="15"/>
        <v>23.385454545454564</v>
      </c>
      <c r="M479"/>
    </row>
    <row r="480" spans="1:13" x14ac:dyDescent="0.35">
      <c r="A480">
        <v>479</v>
      </c>
      <c r="B480" t="s">
        <v>861</v>
      </c>
      <c r="C480" t="s">
        <v>365</v>
      </c>
      <c r="D480">
        <v>5</v>
      </c>
      <c r="E480" t="s">
        <v>37</v>
      </c>
      <c r="F480" s="2">
        <v>45955</v>
      </c>
      <c r="G480" s="20">
        <v>29.672727272727272</v>
      </c>
      <c r="H480" s="20">
        <v>32.64</v>
      </c>
      <c r="I480" s="20">
        <v>166.22</v>
      </c>
      <c r="J480" s="20">
        <f t="shared" si="14"/>
        <v>2.9672727272727286</v>
      </c>
      <c r="K480" s="20">
        <f t="shared" si="15"/>
        <v>14.836363636363643</v>
      </c>
      <c r="M480"/>
    </row>
    <row r="481" spans="1:13" x14ac:dyDescent="0.35">
      <c r="A481">
        <v>480</v>
      </c>
      <c r="B481" t="s">
        <v>550</v>
      </c>
      <c r="C481" t="s">
        <v>367</v>
      </c>
      <c r="D481">
        <v>12</v>
      </c>
      <c r="E481" t="s">
        <v>37</v>
      </c>
      <c r="F481" s="2">
        <v>45955</v>
      </c>
      <c r="G481" s="20">
        <v>54.209090909090904</v>
      </c>
      <c r="H481" s="20">
        <v>59.63</v>
      </c>
      <c r="I481" s="20">
        <v>728.79</v>
      </c>
      <c r="J481" s="20">
        <f t="shared" si="14"/>
        <v>5.4209090909090989</v>
      </c>
      <c r="K481" s="20">
        <f t="shared" si="15"/>
        <v>65.050909090909187</v>
      </c>
      <c r="M481"/>
    </row>
    <row r="482" spans="1:13" x14ac:dyDescent="0.35">
      <c r="A482">
        <v>481</v>
      </c>
      <c r="B482" t="s">
        <v>49</v>
      </c>
      <c r="C482" t="s">
        <v>1076</v>
      </c>
      <c r="D482">
        <v>6</v>
      </c>
      <c r="E482" t="s">
        <v>37</v>
      </c>
      <c r="F482" s="2">
        <v>45955</v>
      </c>
      <c r="G482" s="20">
        <v>135.71818181818179</v>
      </c>
      <c r="H482" s="20">
        <v>149.29</v>
      </c>
      <c r="I482" s="20">
        <v>912.31</v>
      </c>
      <c r="J482" s="20">
        <f t="shared" si="14"/>
        <v>13.571818181818202</v>
      </c>
      <c r="K482" s="20">
        <f t="shared" si="15"/>
        <v>81.430909090909211</v>
      </c>
      <c r="M482"/>
    </row>
    <row r="483" spans="1:13" x14ac:dyDescent="0.35">
      <c r="A483">
        <v>482</v>
      </c>
      <c r="B483" t="s">
        <v>862</v>
      </c>
      <c r="C483" t="s">
        <v>1076</v>
      </c>
      <c r="D483">
        <v>4</v>
      </c>
      <c r="E483" t="s">
        <v>37</v>
      </c>
      <c r="F483" s="2">
        <v>45955</v>
      </c>
      <c r="G483" s="20">
        <v>163.63636363636363</v>
      </c>
      <c r="H483" s="20">
        <v>180</v>
      </c>
      <c r="I483" s="20">
        <v>733.32</v>
      </c>
      <c r="J483" s="20">
        <f t="shared" si="14"/>
        <v>16.363636363636374</v>
      </c>
      <c r="K483" s="20">
        <f t="shared" si="15"/>
        <v>65.454545454545496</v>
      </c>
      <c r="M483"/>
    </row>
    <row r="484" spans="1:13" x14ac:dyDescent="0.35">
      <c r="A484">
        <v>483</v>
      </c>
      <c r="B484" t="s">
        <v>863</v>
      </c>
      <c r="C484" t="s">
        <v>364</v>
      </c>
      <c r="D484">
        <v>2</v>
      </c>
      <c r="E484" t="s">
        <v>37</v>
      </c>
      <c r="F484" s="2">
        <v>45955</v>
      </c>
      <c r="G484" s="20">
        <v>128.72727272727272</v>
      </c>
      <c r="H484" s="20">
        <v>141.6</v>
      </c>
      <c r="I484" s="20">
        <v>291.42</v>
      </c>
      <c r="J484" s="20">
        <f t="shared" si="14"/>
        <v>12.872727272727275</v>
      </c>
      <c r="K484" s="20">
        <f t="shared" si="15"/>
        <v>25.74545454545455</v>
      </c>
      <c r="M484"/>
    </row>
    <row r="485" spans="1:13" x14ac:dyDescent="0.35">
      <c r="A485">
        <v>484</v>
      </c>
      <c r="B485" t="s">
        <v>875</v>
      </c>
      <c r="C485" t="s">
        <v>1077</v>
      </c>
      <c r="D485">
        <v>1</v>
      </c>
      <c r="E485" t="s">
        <v>95</v>
      </c>
      <c r="F485" s="2">
        <v>45956</v>
      </c>
      <c r="G485" s="20">
        <v>856.70909090909083</v>
      </c>
      <c r="H485" s="20">
        <v>942.38</v>
      </c>
      <c r="I485" s="20">
        <v>1078.6500000000001</v>
      </c>
      <c r="J485" s="20">
        <f t="shared" si="14"/>
        <v>85.670909090909163</v>
      </c>
      <c r="K485" s="20">
        <f t="shared" si="15"/>
        <v>85.670909090909163</v>
      </c>
      <c r="M485"/>
    </row>
    <row r="486" spans="1:13" x14ac:dyDescent="0.35">
      <c r="A486">
        <v>485</v>
      </c>
      <c r="B486" t="s">
        <v>876</v>
      </c>
      <c r="C486" t="s">
        <v>361</v>
      </c>
      <c r="D486">
        <v>1</v>
      </c>
      <c r="E486" t="s">
        <v>95</v>
      </c>
      <c r="F486" s="2">
        <v>45956</v>
      </c>
      <c r="G486" s="20">
        <v>186.91818181818181</v>
      </c>
      <c r="H486" s="20">
        <v>205.61</v>
      </c>
      <c r="I486" s="20">
        <v>209.42</v>
      </c>
      <c r="J486" s="20">
        <f t="shared" si="14"/>
        <v>18.691818181818206</v>
      </c>
      <c r="K486" s="20">
        <f t="shared" si="15"/>
        <v>18.691818181818206</v>
      </c>
      <c r="M486"/>
    </row>
    <row r="487" spans="1:13" x14ac:dyDescent="0.35">
      <c r="A487">
        <v>486</v>
      </c>
      <c r="B487" t="s">
        <v>877</v>
      </c>
      <c r="C487" t="s">
        <v>1076</v>
      </c>
      <c r="D487">
        <v>10</v>
      </c>
      <c r="E487" t="s">
        <v>95</v>
      </c>
      <c r="F487" s="2">
        <v>45956</v>
      </c>
      <c r="G487" s="20">
        <v>30.518181818181816</v>
      </c>
      <c r="H487" s="20">
        <v>33.57</v>
      </c>
      <c r="I487" s="20">
        <v>341.91</v>
      </c>
      <c r="J487" s="20">
        <f t="shared" si="14"/>
        <v>3.0518181818181844</v>
      </c>
      <c r="K487" s="20">
        <f t="shared" si="15"/>
        <v>30.518181818181844</v>
      </c>
      <c r="M487"/>
    </row>
    <row r="488" spans="1:13" x14ac:dyDescent="0.35">
      <c r="A488">
        <v>487</v>
      </c>
      <c r="B488" t="s">
        <v>526</v>
      </c>
      <c r="C488" t="s">
        <v>361</v>
      </c>
      <c r="D488">
        <v>1</v>
      </c>
      <c r="E488" t="s">
        <v>95</v>
      </c>
      <c r="F488" s="2">
        <v>45956</v>
      </c>
      <c r="G488" s="20">
        <v>426.49999999999994</v>
      </c>
      <c r="H488" s="20">
        <v>469.15</v>
      </c>
      <c r="I488" s="20">
        <v>537</v>
      </c>
      <c r="J488" s="20">
        <f t="shared" si="14"/>
        <v>42.650000000000034</v>
      </c>
      <c r="K488" s="20">
        <f t="shared" si="15"/>
        <v>42.650000000000034</v>
      </c>
      <c r="M488"/>
    </row>
    <row r="489" spans="1:13" x14ac:dyDescent="0.35">
      <c r="A489">
        <v>488</v>
      </c>
      <c r="B489" t="s">
        <v>878</v>
      </c>
      <c r="C489" t="s">
        <v>365</v>
      </c>
      <c r="D489">
        <v>1</v>
      </c>
      <c r="E489" t="s">
        <v>95</v>
      </c>
      <c r="F489" s="2">
        <v>45956</v>
      </c>
      <c r="G489" s="20">
        <v>332.22727272727269</v>
      </c>
      <c r="H489" s="20">
        <v>365.45</v>
      </c>
      <c r="I489" s="20">
        <v>372.21</v>
      </c>
      <c r="J489" s="20">
        <f t="shared" si="14"/>
        <v>33.222727272727298</v>
      </c>
      <c r="K489" s="20">
        <f t="shared" si="15"/>
        <v>33.222727272727298</v>
      </c>
      <c r="M489"/>
    </row>
    <row r="490" spans="1:13" x14ac:dyDescent="0.35">
      <c r="A490">
        <v>489</v>
      </c>
      <c r="B490" t="s">
        <v>511</v>
      </c>
      <c r="C490" t="s">
        <v>364</v>
      </c>
      <c r="D490">
        <v>3</v>
      </c>
      <c r="E490" t="s">
        <v>95</v>
      </c>
      <c r="F490" s="2">
        <v>45956</v>
      </c>
      <c r="G490" s="20">
        <v>60.645454545454534</v>
      </c>
      <c r="H490" s="20">
        <v>66.709999999999994</v>
      </c>
      <c r="I490" s="20">
        <v>203.83</v>
      </c>
      <c r="J490" s="20">
        <f t="shared" si="14"/>
        <v>6.0645454545454598</v>
      </c>
      <c r="K490" s="20">
        <f t="shared" si="15"/>
        <v>18.193636363636379</v>
      </c>
      <c r="M490"/>
    </row>
    <row r="491" spans="1:13" x14ac:dyDescent="0.35">
      <c r="A491">
        <v>490</v>
      </c>
      <c r="B491" t="s">
        <v>507</v>
      </c>
      <c r="C491" t="s">
        <v>368</v>
      </c>
      <c r="D491">
        <v>1</v>
      </c>
      <c r="E491" t="s">
        <v>95</v>
      </c>
      <c r="F491" s="2">
        <v>45956</v>
      </c>
      <c r="G491" s="20">
        <v>110.93636363636362</v>
      </c>
      <c r="H491" s="20">
        <v>122.03</v>
      </c>
      <c r="I491" s="20">
        <v>124.29</v>
      </c>
      <c r="J491" s="20">
        <f t="shared" si="14"/>
        <v>11.093636363636378</v>
      </c>
      <c r="K491" s="20">
        <f t="shared" si="15"/>
        <v>11.093636363636378</v>
      </c>
      <c r="M491"/>
    </row>
    <row r="492" spans="1:13" x14ac:dyDescent="0.35">
      <c r="A492">
        <v>491</v>
      </c>
      <c r="B492" t="s">
        <v>879</v>
      </c>
      <c r="C492" t="s">
        <v>1076</v>
      </c>
      <c r="D492">
        <v>11</v>
      </c>
      <c r="E492" t="s">
        <v>95</v>
      </c>
      <c r="F492" s="2">
        <v>45956</v>
      </c>
      <c r="G492" s="20">
        <v>29.227272727272723</v>
      </c>
      <c r="H492" s="20">
        <v>32.15</v>
      </c>
      <c r="I492" s="20">
        <v>360.2</v>
      </c>
      <c r="J492" s="20">
        <f t="shared" si="14"/>
        <v>2.9227272727272755</v>
      </c>
      <c r="K492" s="20">
        <f t="shared" si="15"/>
        <v>32.150000000000034</v>
      </c>
      <c r="M492"/>
    </row>
    <row r="493" spans="1:13" x14ac:dyDescent="0.35">
      <c r="A493">
        <v>492</v>
      </c>
      <c r="B493" t="s">
        <v>84</v>
      </c>
      <c r="C493" t="s">
        <v>361</v>
      </c>
      <c r="D493">
        <v>3</v>
      </c>
      <c r="E493" t="s">
        <v>95</v>
      </c>
      <c r="F493" s="2">
        <v>45956</v>
      </c>
      <c r="G493" s="20">
        <v>418.83636363636401</v>
      </c>
      <c r="H493" s="20">
        <v>460.72</v>
      </c>
      <c r="I493" s="20">
        <v>1407.74</v>
      </c>
      <c r="J493" s="20">
        <f t="shared" si="14"/>
        <v>41.883636363636015</v>
      </c>
      <c r="K493" s="20">
        <f t="shared" si="15"/>
        <v>125.65090909090804</v>
      </c>
      <c r="M493"/>
    </row>
    <row r="494" spans="1:13" x14ac:dyDescent="0.35">
      <c r="A494">
        <v>493</v>
      </c>
      <c r="B494" t="s">
        <v>880</v>
      </c>
      <c r="C494" t="s">
        <v>368</v>
      </c>
      <c r="D494">
        <v>4</v>
      </c>
      <c r="E494" t="s">
        <v>95</v>
      </c>
      <c r="F494" s="2">
        <v>45956</v>
      </c>
      <c r="G494" s="20">
        <v>53.25454545454545</v>
      </c>
      <c r="H494" s="20">
        <v>58.58</v>
      </c>
      <c r="I494" s="20">
        <v>238.65</v>
      </c>
      <c r="J494" s="20">
        <f t="shared" si="14"/>
        <v>5.3254545454545479</v>
      </c>
      <c r="K494" s="20">
        <f t="shared" si="15"/>
        <v>21.301818181818192</v>
      </c>
      <c r="M494"/>
    </row>
    <row r="495" spans="1:13" x14ac:dyDescent="0.35">
      <c r="A495">
        <v>494</v>
      </c>
      <c r="B495" t="s">
        <v>890</v>
      </c>
      <c r="C495" t="s">
        <v>1077</v>
      </c>
      <c r="D495">
        <v>3</v>
      </c>
      <c r="E495" t="s">
        <v>501</v>
      </c>
      <c r="F495" s="2">
        <v>45956</v>
      </c>
      <c r="G495" s="20">
        <v>923.92727272727268</v>
      </c>
      <c r="H495" s="20">
        <v>1016.32</v>
      </c>
      <c r="I495" s="20">
        <v>3048.96</v>
      </c>
      <c r="J495" s="20">
        <f t="shared" si="14"/>
        <v>92.39272727272737</v>
      </c>
      <c r="K495" s="20">
        <f t="shared" si="15"/>
        <v>277.17818181818211</v>
      </c>
      <c r="M495"/>
    </row>
    <row r="496" spans="1:13" x14ac:dyDescent="0.35">
      <c r="A496">
        <v>495</v>
      </c>
      <c r="B496" t="s">
        <v>890</v>
      </c>
      <c r="C496" t="s">
        <v>1077</v>
      </c>
      <c r="D496">
        <v>2</v>
      </c>
      <c r="E496" t="s">
        <v>501</v>
      </c>
      <c r="F496" s="2">
        <v>45956</v>
      </c>
      <c r="G496" s="20">
        <v>923.92727272727268</v>
      </c>
      <c r="H496" s="20">
        <v>1016.32</v>
      </c>
      <c r="I496" s="20">
        <v>2032.64</v>
      </c>
      <c r="J496" s="20">
        <f t="shared" si="14"/>
        <v>92.39272727272737</v>
      </c>
      <c r="K496" s="20">
        <f t="shared" si="15"/>
        <v>184.78545454545474</v>
      </c>
      <c r="M496"/>
    </row>
    <row r="497" spans="1:13" x14ac:dyDescent="0.35">
      <c r="A497">
        <v>496</v>
      </c>
      <c r="B497" t="s">
        <v>893</v>
      </c>
      <c r="C497" t="s">
        <v>1076</v>
      </c>
      <c r="D497">
        <v>50</v>
      </c>
      <c r="E497" t="s">
        <v>141</v>
      </c>
      <c r="F497" s="2">
        <v>45957</v>
      </c>
      <c r="G497" s="20">
        <v>188.30909090909088</v>
      </c>
      <c r="H497" s="20">
        <v>207.14</v>
      </c>
      <c r="I497" s="20">
        <v>10548.61</v>
      </c>
      <c r="J497" s="20">
        <f t="shared" si="14"/>
        <v>18.830909090909103</v>
      </c>
      <c r="K497" s="20">
        <f t="shared" si="15"/>
        <v>941.54545454545519</v>
      </c>
      <c r="M497"/>
    </row>
    <row r="498" spans="1:13" x14ac:dyDescent="0.35">
      <c r="A498">
        <v>497</v>
      </c>
      <c r="B498" t="s">
        <v>137</v>
      </c>
      <c r="C498" t="s">
        <v>1077</v>
      </c>
      <c r="D498">
        <v>5</v>
      </c>
      <c r="E498" t="s">
        <v>141</v>
      </c>
      <c r="F498" s="2">
        <v>45957</v>
      </c>
      <c r="G498" s="20">
        <v>616.88181818181818</v>
      </c>
      <c r="H498" s="20">
        <v>678.57</v>
      </c>
      <c r="I498" s="20">
        <v>3455.62</v>
      </c>
      <c r="J498" s="20">
        <f t="shared" si="14"/>
        <v>61.688181818181874</v>
      </c>
      <c r="K498" s="20">
        <f t="shared" si="15"/>
        <v>308.44090909090937</v>
      </c>
      <c r="M498"/>
    </row>
    <row r="499" spans="1:13" x14ac:dyDescent="0.35">
      <c r="A499">
        <v>498</v>
      </c>
      <c r="B499" t="s">
        <v>896</v>
      </c>
      <c r="C499" t="s">
        <v>366</v>
      </c>
      <c r="D499">
        <v>1</v>
      </c>
      <c r="E499" t="s">
        <v>95</v>
      </c>
      <c r="F499" s="2">
        <v>45957</v>
      </c>
      <c r="G499" s="20">
        <v>334.0454545454545</v>
      </c>
      <c r="H499" s="20">
        <v>367.45</v>
      </c>
      <c r="I499" s="20">
        <v>374.25</v>
      </c>
      <c r="J499" s="20">
        <f t="shared" si="14"/>
        <v>33.404545454545485</v>
      </c>
      <c r="K499" s="20">
        <f t="shared" si="15"/>
        <v>33.404545454545485</v>
      </c>
      <c r="M499"/>
    </row>
    <row r="500" spans="1:13" x14ac:dyDescent="0.35">
      <c r="A500">
        <v>499</v>
      </c>
      <c r="B500" t="s">
        <v>897</v>
      </c>
      <c r="C500" t="s">
        <v>1077</v>
      </c>
      <c r="D500">
        <v>2</v>
      </c>
      <c r="E500" t="s">
        <v>95</v>
      </c>
      <c r="F500" s="2">
        <v>45957</v>
      </c>
      <c r="G500" s="20">
        <v>646.1</v>
      </c>
      <c r="H500" s="20">
        <v>710.71</v>
      </c>
      <c r="I500" s="20">
        <v>1447.72</v>
      </c>
      <c r="J500" s="20">
        <f t="shared" si="14"/>
        <v>64.610000000000014</v>
      </c>
      <c r="K500" s="20">
        <f t="shared" si="15"/>
        <v>129.22000000000003</v>
      </c>
      <c r="M500"/>
    </row>
    <row r="501" spans="1:13" x14ac:dyDescent="0.35">
      <c r="A501">
        <v>500</v>
      </c>
      <c r="B501" t="s">
        <v>12</v>
      </c>
      <c r="C501" t="s">
        <v>361</v>
      </c>
      <c r="D501">
        <v>1</v>
      </c>
      <c r="E501" t="s">
        <v>95</v>
      </c>
      <c r="F501" s="2">
        <v>45957</v>
      </c>
      <c r="G501" s="20">
        <v>155.31818181818181</v>
      </c>
      <c r="H501" s="20">
        <v>170.85</v>
      </c>
      <c r="I501" s="20">
        <v>195.54</v>
      </c>
      <c r="J501" s="20">
        <f t="shared" si="14"/>
        <v>15.531818181818181</v>
      </c>
      <c r="K501" s="20">
        <f t="shared" si="15"/>
        <v>15.531818181818181</v>
      </c>
      <c r="M501"/>
    </row>
    <row r="502" spans="1:13" x14ac:dyDescent="0.35">
      <c r="A502">
        <v>501</v>
      </c>
      <c r="B502" t="s">
        <v>898</v>
      </c>
      <c r="C502" t="s">
        <v>1076</v>
      </c>
      <c r="D502">
        <v>1</v>
      </c>
      <c r="E502" t="s">
        <v>95</v>
      </c>
      <c r="F502" s="2">
        <v>45957</v>
      </c>
      <c r="G502" s="20">
        <v>181.17272727272726</v>
      </c>
      <c r="H502" s="20">
        <v>199.29</v>
      </c>
      <c r="I502" s="20">
        <v>202.97</v>
      </c>
      <c r="J502" s="20">
        <f t="shared" si="14"/>
        <v>18.117272727272734</v>
      </c>
      <c r="K502" s="20">
        <f t="shared" si="15"/>
        <v>18.117272727272734</v>
      </c>
      <c r="M502"/>
    </row>
    <row r="503" spans="1:13" x14ac:dyDescent="0.35">
      <c r="A503">
        <v>502</v>
      </c>
      <c r="B503" t="s">
        <v>899</v>
      </c>
      <c r="C503" t="s">
        <v>364</v>
      </c>
      <c r="D503">
        <v>2</v>
      </c>
      <c r="E503" t="s">
        <v>95</v>
      </c>
      <c r="F503" s="2">
        <v>45957</v>
      </c>
      <c r="G503" s="20">
        <v>98.381818181818176</v>
      </c>
      <c r="H503" s="20">
        <v>108.22</v>
      </c>
      <c r="I503" s="20">
        <v>220.45</v>
      </c>
      <c r="J503" s="20">
        <f t="shared" si="14"/>
        <v>9.8381818181818232</v>
      </c>
      <c r="K503" s="20">
        <f t="shared" si="15"/>
        <v>19.676363636363646</v>
      </c>
      <c r="M503"/>
    </row>
    <row r="504" spans="1:13" x14ac:dyDescent="0.35">
      <c r="A504">
        <v>503</v>
      </c>
      <c r="B504" t="s">
        <v>900</v>
      </c>
      <c r="C504" t="s">
        <v>364</v>
      </c>
      <c r="D504">
        <v>4</v>
      </c>
      <c r="E504" t="s">
        <v>95</v>
      </c>
      <c r="F504" s="2">
        <v>45957</v>
      </c>
      <c r="G504" s="20">
        <v>240.24545454545452</v>
      </c>
      <c r="H504" s="20">
        <v>264.27</v>
      </c>
      <c r="I504" s="20">
        <v>1076.6300000000001</v>
      </c>
      <c r="J504" s="20">
        <f t="shared" si="14"/>
        <v>24.024545454545461</v>
      </c>
      <c r="K504" s="20">
        <f t="shared" si="15"/>
        <v>96.098181818181843</v>
      </c>
      <c r="M504"/>
    </row>
    <row r="505" spans="1:13" x14ac:dyDescent="0.35">
      <c r="A505">
        <v>504</v>
      </c>
      <c r="B505" t="s">
        <v>901</v>
      </c>
      <c r="C505" t="s">
        <v>367</v>
      </c>
      <c r="D505">
        <v>1</v>
      </c>
      <c r="E505" t="s">
        <v>95</v>
      </c>
      <c r="F505" s="2">
        <v>45957</v>
      </c>
      <c r="G505" s="20">
        <v>143.11818181818182</v>
      </c>
      <c r="H505" s="20">
        <v>157.43</v>
      </c>
      <c r="I505" s="20">
        <v>160.35</v>
      </c>
      <c r="J505" s="20">
        <f t="shared" si="14"/>
        <v>14.311818181818182</v>
      </c>
      <c r="K505" s="20">
        <f t="shared" si="15"/>
        <v>14.311818181818182</v>
      </c>
      <c r="M505"/>
    </row>
    <row r="506" spans="1:13" x14ac:dyDescent="0.35">
      <c r="A506">
        <v>505</v>
      </c>
      <c r="B506" t="s">
        <v>902</v>
      </c>
      <c r="C506" t="s">
        <v>1076</v>
      </c>
      <c r="D506">
        <v>2</v>
      </c>
      <c r="E506" t="s">
        <v>95</v>
      </c>
      <c r="F506" s="2">
        <v>45957</v>
      </c>
      <c r="G506" s="20">
        <v>225.16363636363636</v>
      </c>
      <c r="H506" s="20">
        <v>247.68</v>
      </c>
      <c r="I506" s="20">
        <v>504.52</v>
      </c>
      <c r="J506" s="20">
        <f t="shared" si="14"/>
        <v>22.51636363636365</v>
      </c>
      <c r="K506" s="20">
        <f t="shared" si="15"/>
        <v>45.0327272727273</v>
      </c>
      <c r="M506"/>
    </row>
    <row r="507" spans="1:13" x14ac:dyDescent="0.35">
      <c r="A507">
        <v>506</v>
      </c>
      <c r="B507" t="s">
        <v>903</v>
      </c>
      <c r="C507" t="s">
        <v>368</v>
      </c>
      <c r="D507">
        <v>7</v>
      </c>
      <c r="E507" t="s">
        <v>95</v>
      </c>
      <c r="F507" s="2">
        <v>45957</v>
      </c>
      <c r="G507" s="20">
        <v>80.645454545454527</v>
      </c>
      <c r="H507" s="20">
        <v>88.71</v>
      </c>
      <c r="I507" s="20">
        <v>591.79999999999995</v>
      </c>
      <c r="J507" s="20">
        <f t="shared" si="14"/>
        <v>8.0645454545454669</v>
      </c>
      <c r="K507" s="20">
        <f t="shared" si="15"/>
        <v>56.451818181818268</v>
      </c>
      <c r="M507"/>
    </row>
    <row r="508" spans="1:13" x14ac:dyDescent="0.35">
      <c r="A508">
        <v>507</v>
      </c>
      <c r="B508" t="s">
        <v>904</v>
      </c>
      <c r="C508" t="s">
        <v>1075</v>
      </c>
      <c r="D508">
        <v>5</v>
      </c>
      <c r="E508" t="s">
        <v>95</v>
      </c>
      <c r="F508" s="2">
        <v>45957</v>
      </c>
      <c r="G508" s="20">
        <v>67.718181818181804</v>
      </c>
      <c r="H508" s="20">
        <v>74.489999999999995</v>
      </c>
      <c r="I508" s="20">
        <v>341.4</v>
      </c>
      <c r="J508" s="20">
        <f t="shared" si="14"/>
        <v>6.7718181818181904</v>
      </c>
      <c r="K508" s="20">
        <f t="shared" si="15"/>
        <v>33.859090909090952</v>
      </c>
      <c r="M508"/>
    </row>
    <row r="509" spans="1:13" x14ac:dyDescent="0.35">
      <c r="A509">
        <v>508</v>
      </c>
      <c r="B509" t="s">
        <v>905</v>
      </c>
      <c r="C509" t="s">
        <v>1077</v>
      </c>
      <c r="D509">
        <v>1</v>
      </c>
      <c r="E509" t="s">
        <v>95</v>
      </c>
      <c r="F509" s="2">
        <v>45957</v>
      </c>
      <c r="G509" s="20">
        <v>307.5545454545454</v>
      </c>
      <c r="H509" s="20">
        <v>338.31</v>
      </c>
      <c r="I509" s="20">
        <v>387.22</v>
      </c>
      <c r="J509" s="20">
        <f t="shared" si="14"/>
        <v>30.755454545454597</v>
      </c>
      <c r="K509" s="20">
        <f t="shared" si="15"/>
        <v>30.755454545454597</v>
      </c>
      <c r="M509"/>
    </row>
    <row r="510" spans="1:13" x14ac:dyDescent="0.35">
      <c r="A510">
        <v>509</v>
      </c>
      <c r="B510" t="s">
        <v>906</v>
      </c>
      <c r="C510" t="s">
        <v>1076</v>
      </c>
      <c r="D510">
        <v>1</v>
      </c>
      <c r="E510" t="s">
        <v>95</v>
      </c>
      <c r="F510" s="2">
        <v>45957</v>
      </c>
      <c r="G510" s="20">
        <v>91.236363636363635</v>
      </c>
      <c r="H510" s="20">
        <v>100.36</v>
      </c>
      <c r="I510" s="20">
        <v>102.21</v>
      </c>
      <c r="J510" s="20">
        <f t="shared" si="14"/>
        <v>9.1236363636363649</v>
      </c>
      <c r="K510" s="20">
        <f t="shared" si="15"/>
        <v>9.1236363636363649</v>
      </c>
      <c r="M510"/>
    </row>
    <row r="511" spans="1:13" x14ac:dyDescent="0.35">
      <c r="A511">
        <v>510</v>
      </c>
      <c r="B511" t="s">
        <v>907</v>
      </c>
      <c r="C511" t="s">
        <v>361</v>
      </c>
      <c r="D511">
        <v>5</v>
      </c>
      <c r="E511" t="s">
        <v>95</v>
      </c>
      <c r="F511" s="2">
        <v>45957</v>
      </c>
      <c r="G511" s="20">
        <v>411.86363636363632</v>
      </c>
      <c r="H511" s="20">
        <v>453.05</v>
      </c>
      <c r="I511" s="20">
        <v>2592.81</v>
      </c>
      <c r="J511" s="20">
        <f t="shared" si="14"/>
        <v>41.186363636363694</v>
      </c>
      <c r="K511" s="20">
        <f t="shared" si="15"/>
        <v>205.93181818181847</v>
      </c>
      <c r="M511"/>
    </row>
    <row r="512" spans="1:13" x14ac:dyDescent="0.35">
      <c r="A512">
        <v>511</v>
      </c>
      <c r="B512" t="s">
        <v>908</v>
      </c>
      <c r="C512" t="s">
        <v>367</v>
      </c>
      <c r="D512">
        <v>2</v>
      </c>
      <c r="E512" t="s">
        <v>95</v>
      </c>
      <c r="F512" s="2">
        <v>45957</v>
      </c>
      <c r="G512" s="20">
        <v>56.836363636363636</v>
      </c>
      <c r="H512" s="20">
        <v>62.52</v>
      </c>
      <c r="I512" s="20">
        <v>127.36</v>
      </c>
      <c r="J512" s="20">
        <f t="shared" si="14"/>
        <v>5.6836363636363672</v>
      </c>
      <c r="K512" s="20">
        <f t="shared" si="15"/>
        <v>11.367272727272734</v>
      </c>
      <c r="M512"/>
    </row>
    <row r="513" spans="1:13" x14ac:dyDescent="0.35">
      <c r="A513">
        <v>512</v>
      </c>
      <c r="B513" t="s">
        <v>909</v>
      </c>
      <c r="C513" t="s">
        <v>364</v>
      </c>
      <c r="D513">
        <v>1</v>
      </c>
      <c r="E513" t="s">
        <v>95</v>
      </c>
      <c r="F513" s="2">
        <v>45957</v>
      </c>
      <c r="G513" s="20">
        <v>133.44545454545454</v>
      </c>
      <c r="H513" s="20">
        <v>146.79</v>
      </c>
      <c r="I513" s="20">
        <v>149.51</v>
      </c>
      <c r="J513" s="20">
        <f t="shared" si="14"/>
        <v>13.344545454545454</v>
      </c>
      <c r="K513" s="20">
        <f t="shared" si="15"/>
        <v>13.344545454545454</v>
      </c>
      <c r="M513"/>
    </row>
    <row r="514" spans="1:13" x14ac:dyDescent="0.35">
      <c r="A514">
        <v>513</v>
      </c>
      <c r="B514" t="s">
        <v>803</v>
      </c>
      <c r="C514" t="s">
        <v>1076</v>
      </c>
      <c r="D514">
        <v>3</v>
      </c>
      <c r="E514" t="s">
        <v>95</v>
      </c>
      <c r="F514" s="2">
        <v>45958</v>
      </c>
      <c r="G514" s="20">
        <v>334.41818181818178</v>
      </c>
      <c r="H514" s="20">
        <v>367.86</v>
      </c>
      <c r="I514" s="20">
        <v>1123.99</v>
      </c>
      <c r="J514" s="20">
        <f t="shared" ref="J514:J577" si="16">H514-G514</f>
        <v>33.441818181818235</v>
      </c>
      <c r="K514" s="20">
        <f t="shared" ref="K514:K577" si="17">J514*D514</f>
        <v>100.3254545454547</v>
      </c>
      <c r="M514"/>
    </row>
    <row r="515" spans="1:13" x14ac:dyDescent="0.35">
      <c r="A515">
        <v>514</v>
      </c>
      <c r="B515" t="s">
        <v>922</v>
      </c>
      <c r="C515" t="s">
        <v>365</v>
      </c>
      <c r="D515">
        <v>2</v>
      </c>
      <c r="E515" t="s">
        <v>95</v>
      </c>
      <c r="F515" s="2">
        <v>45958</v>
      </c>
      <c r="G515" s="20">
        <v>139.6090909090909</v>
      </c>
      <c r="H515" s="20">
        <v>153.57</v>
      </c>
      <c r="I515" s="20">
        <v>312.83</v>
      </c>
      <c r="J515" s="20">
        <f t="shared" si="16"/>
        <v>13.960909090909098</v>
      </c>
      <c r="K515" s="20">
        <f t="shared" si="17"/>
        <v>27.921818181818196</v>
      </c>
      <c r="M515"/>
    </row>
    <row r="516" spans="1:13" x14ac:dyDescent="0.35">
      <c r="A516">
        <v>515</v>
      </c>
      <c r="B516" t="s">
        <v>154</v>
      </c>
      <c r="C516" t="s">
        <v>368</v>
      </c>
      <c r="D516">
        <v>6</v>
      </c>
      <c r="E516" t="s">
        <v>95</v>
      </c>
      <c r="F516" s="2">
        <v>45958</v>
      </c>
      <c r="G516" s="20">
        <v>141.76363636363635</v>
      </c>
      <c r="H516" s="20">
        <v>155.94</v>
      </c>
      <c r="I516" s="20">
        <v>952.95</v>
      </c>
      <c r="J516" s="20">
        <f t="shared" si="16"/>
        <v>14.176363636363646</v>
      </c>
      <c r="K516" s="20">
        <f t="shared" si="17"/>
        <v>85.058181818181879</v>
      </c>
      <c r="M516"/>
    </row>
    <row r="517" spans="1:13" x14ac:dyDescent="0.35">
      <c r="A517">
        <v>516</v>
      </c>
      <c r="B517" t="s">
        <v>923</v>
      </c>
      <c r="C517" t="s">
        <v>1076</v>
      </c>
      <c r="D517">
        <v>2</v>
      </c>
      <c r="E517" t="s">
        <v>95</v>
      </c>
      <c r="F517" s="2">
        <v>45958</v>
      </c>
      <c r="G517" s="20">
        <v>159.09090909090907</v>
      </c>
      <c r="H517" s="20">
        <v>175</v>
      </c>
      <c r="I517" s="20">
        <v>356.48</v>
      </c>
      <c r="J517" s="20">
        <f t="shared" si="16"/>
        <v>15.909090909090935</v>
      </c>
      <c r="K517" s="20">
        <f t="shared" si="17"/>
        <v>31.81818181818187</v>
      </c>
      <c r="M517"/>
    </row>
    <row r="518" spans="1:13" x14ac:dyDescent="0.35">
      <c r="A518">
        <v>517</v>
      </c>
      <c r="B518" t="s">
        <v>924</v>
      </c>
      <c r="C518" t="s">
        <v>1076</v>
      </c>
      <c r="D518">
        <v>2</v>
      </c>
      <c r="E518" t="s">
        <v>95</v>
      </c>
      <c r="F518" s="2">
        <v>45958</v>
      </c>
      <c r="G518" s="20">
        <v>59.736363636363627</v>
      </c>
      <c r="H518" s="20">
        <v>65.709999999999994</v>
      </c>
      <c r="I518" s="20">
        <v>133.86000000000001</v>
      </c>
      <c r="J518" s="20">
        <f t="shared" si="16"/>
        <v>5.9736363636363663</v>
      </c>
      <c r="K518" s="20">
        <f t="shared" si="17"/>
        <v>11.947272727272733</v>
      </c>
      <c r="M518"/>
    </row>
    <row r="519" spans="1:13" x14ac:dyDescent="0.35">
      <c r="A519">
        <v>518</v>
      </c>
      <c r="B519" t="s">
        <v>925</v>
      </c>
      <c r="C519" t="s">
        <v>1076</v>
      </c>
      <c r="D519">
        <v>1</v>
      </c>
      <c r="E519" t="s">
        <v>95</v>
      </c>
      <c r="F519" s="2">
        <v>45958</v>
      </c>
      <c r="G519" s="20">
        <v>165.58181818181816</v>
      </c>
      <c r="H519" s="20">
        <v>182.14</v>
      </c>
      <c r="I519" s="20">
        <v>185.52</v>
      </c>
      <c r="J519" s="20">
        <f t="shared" si="16"/>
        <v>16.558181818181822</v>
      </c>
      <c r="K519" s="20">
        <f t="shared" si="17"/>
        <v>16.558181818181822</v>
      </c>
      <c r="M519"/>
    </row>
    <row r="520" spans="1:13" x14ac:dyDescent="0.35">
      <c r="A520">
        <v>519</v>
      </c>
      <c r="B520" t="s">
        <v>926</v>
      </c>
      <c r="C520" t="s">
        <v>1077</v>
      </c>
      <c r="D520">
        <v>1</v>
      </c>
      <c r="E520" t="s">
        <v>95</v>
      </c>
      <c r="F520" s="2">
        <v>45958</v>
      </c>
      <c r="G520" s="20">
        <v>850.80909090909086</v>
      </c>
      <c r="H520" s="20">
        <v>935.89</v>
      </c>
      <c r="I520" s="20">
        <v>953.21</v>
      </c>
      <c r="J520" s="20">
        <f t="shared" si="16"/>
        <v>85.080909090909131</v>
      </c>
      <c r="K520" s="20">
        <f t="shared" si="17"/>
        <v>85.080909090909131</v>
      </c>
      <c r="M520"/>
    </row>
    <row r="521" spans="1:13" x14ac:dyDescent="0.35">
      <c r="A521">
        <v>520</v>
      </c>
      <c r="B521" t="s">
        <v>927</v>
      </c>
      <c r="C521" t="s">
        <v>364</v>
      </c>
      <c r="D521">
        <v>3</v>
      </c>
      <c r="E521" t="s">
        <v>95</v>
      </c>
      <c r="F521" s="2">
        <v>45958</v>
      </c>
      <c r="G521" s="20">
        <v>118.71818181818182</v>
      </c>
      <c r="H521" s="20">
        <v>130.59</v>
      </c>
      <c r="I521" s="20">
        <v>399.02</v>
      </c>
      <c r="J521" s="20">
        <f t="shared" si="16"/>
        <v>11.871818181818185</v>
      </c>
      <c r="K521" s="20">
        <f t="shared" si="17"/>
        <v>35.615454545454554</v>
      </c>
      <c r="M521"/>
    </row>
    <row r="522" spans="1:13" x14ac:dyDescent="0.35">
      <c r="A522">
        <v>521</v>
      </c>
      <c r="B522" t="s">
        <v>234</v>
      </c>
      <c r="C522" t="s">
        <v>1076</v>
      </c>
      <c r="D522">
        <v>3</v>
      </c>
      <c r="E522" t="s">
        <v>95</v>
      </c>
      <c r="F522" s="2">
        <v>45958</v>
      </c>
      <c r="G522" s="20">
        <v>122.03636363636363</v>
      </c>
      <c r="H522" s="20">
        <v>134.24</v>
      </c>
      <c r="I522" s="20">
        <v>410.18</v>
      </c>
      <c r="J522" s="20">
        <f t="shared" si="16"/>
        <v>12.203636363636377</v>
      </c>
      <c r="K522" s="20">
        <f t="shared" si="17"/>
        <v>36.610909090909132</v>
      </c>
      <c r="M522"/>
    </row>
    <row r="523" spans="1:13" x14ac:dyDescent="0.35">
      <c r="A523">
        <v>522</v>
      </c>
      <c r="B523" t="s">
        <v>928</v>
      </c>
      <c r="C523" t="s">
        <v>368</v>
      </c>
      <c r="D523">
        <v>1</v>
      </c>
      <c r="E523" t="s">
        <v>95</v>
      </c>
      <c r="F523" s="2">
        <v>45958</v>
      </c>
      <c r="G523" s="20">
        <v>416.0272727272727</v>
      </c>
      <c r="H523" s="20">
        <v>457.63</v>
      </c>
      <c r="I523" s="20">
        <v>466.1</v>
      </c>
      <c r="J523" s="20">
        <f t="shared" si="16"/>
        <v>41.602727272727293</v>
      </c>
      <c r="K523" s="20">
        <f t="shared" si="17"/>
        <v>41.602727272727293</v>
      </c>
      <c r="M523"/>
    </row>
    <row r="524" spans="1:13" x14ac:dyDescent="0.35">
      <c r="A524">
        <v>523</v>
      </c>
      <c r="B524" t="s">
        <v>188</v>
      </c>
      <c r="C524" t="s">
        <v>1076</v>
      </c>
      <c r="D524">
        <v>5</v>
      </c>
      <c r="E524" t="s">
        <v>95</v>
      </c>
      <c r="F524" s="2">
        <v>45958</v>
      </c>
      <c r="G524" s="20">
        <v>72.545454545454533</v>
      </c>
      <c r="H524" s="20">
        <v>79.8</v>
      </c>
      <c r="I524" s="20">
        <v>406.39</v>
      </c>
      <c r="J524" s="20">
        <f t="shared" si="16"/>
        <v>7.2545454545454646</v>
      </c>
      <c r="K524" s="20">
        <f t="shared" si="17"/>
        <v>36.272727272727323</v>
      </c>
      <c r="M524"/>
    </row>
    <row r="525" spans="1:13" x14ac:dyDescent="0.35">
      <c r="A525">
        <v>524</v>
      </c>
      <c r="B525" t="s">
        <v>929</v>
      </c>
      <c r="C525" t="s">
        <v>365</v>
      </c>
      <c r="D525">
        <v>5</v>
      </c>
      <c r="E525" t="s">
        <v>95</v>
      </c>
      <c r="F525" s="2">
        <v>45958</v>
      </c>
      <c r="G525" s="20">
        <v>27.518181818181816</v>
      </c>
      <c r="H525" s="20">
        <v>30.27</v>
      </c>
      <c r="I525" s="20">
        <v>154.15</v>
      </c>
      <c r="J525" s="20">
        <f t="shared" si="16"/>
        <v>2.7518181818181837</v>
      </c>
      <c r="K525" s="20">
        <f t="shared" si="17"/>
        <v>13.759090909090919</v>
      </c>
      <c r="M525"/>
    </row>
    <row r="526" spans="1:13" x14ac:dyDescent="0.35">
      <c r="A526">
        <v>525</v>
      </c>
      <c r="B526" t="s">
        <v>930</v>
      </c>
      <c r="C526" t="s">
        <v>1076</v>
      </c>
      <c r="D526">
        <v>1</v>
      </c>
      <c r="E526" t="s">
        <v>95</v>
      </c>
      <c r="F526" s="2">
        <v>45958</v>
      </c>
      <c r="G526" s="20">
        <v>224.0272727272727</v>
      </c>
      <c r="H526" s="20">
        <v>246.43</v>
      </c>
      <c r="I526" s="20">
        <v>251</v>
      </c>
      <c r="J526" s="20">
        <f t="shared" si="16"/>
        <v>22.402727272727304</v>
      </c>
      <c r="K526" s="20">
        <f t="shared" si="17"/>
        <v>22.402727272727304</v>
      </c>
      <c r="M526"/>
    </row>
    <row r="527" spans="1:13" x14ac:dyDescent="0.35">
      <c r="A527">
        <v>526</v>
      </c>
      <c r="B527" t="s">
        <v>84</v>
      </c>
      <c r="C527" t="s">
        <v>361</v>
      </c>
      <c r="D527">
        <v>2</v>
      </c>
      <c r="E527" t="s">
        <v>95</v>
      </c>
      <c r="F527" s="2">
        <v>45958</v>
      </c>
      <c r="G527" s="20">
        <v>418.83636363636361</v>
      </c>
      <c r="H527" s="20">
        <v>460.72</v>
      </c>
      <c r="I527" s="20">
        <v>938.5</v>
      </c>
      <c r="J527" s="20">
        <f t="shared" si="16"/>
        <v>41.883636363636413</v>
      </c>
      <c r="K527" s="20">
        <f t="shared" si="17"/>
        <v>83.767272727272825</v>
      </c>
      <c r="M527"/>
    </row>
    <row r="528" spans="1:13" x14ac:dyDescent="0.35">
      <c r="A528">
        <v>527</v>
      </c>
      <c r="B528" t="s">
        <v>944</v>
      </c>
      <c r="C528" t="s">
        <v>1077</v>
      </c>
      <c r="D528">
        <v>3</v>
      </c>
      <c r="E528" t="s">
        <v>501</v>
      </c>
      <c r="F528" s="2">
        <v>45958</v>
      </c>
      <c r="G528" s="20">
        <v>923.92727272727268</v>
      </c>
      <c r="H528" s="20">
        <v>1016.32</v>
      </c>
      <c r="I528" s="20">
        <v>3048.96</v>
      </c>
      <c r="J528" s="20">
        <f t="shared" si="16"/>
        <v>92.39272727272737</v>
      </c>
      <c r="K528" s="20">
        <f t="shared" si="17"/>
        <v>277.17818181818211</v>
      </c>
      <c r="M528"/>
    </row>
    <row r="529" spans="1:13" x14ac:dyDescent="0.35">
      <c r="A529">
        <v>528</v>
      </c>
      <c r="B529" t="s">
        <v>944</v>
      </c>
      <c r="C529" t="s">
        <v>1077</v>
      </c>
      <c r="D529">
        <v>7</v>
      </c>
      <c r="E529" t="s">
        <v>501</v>
      </c>
      <c r="F529" s="2">
        <v>45958</v>
      </c>
      <c r="G529" s="20">
        <v>923.92727272727268</v>
      </c>
      <c r="H529" s="20">
        <v>1016.32</v>
      </c>
      <c r="I529" s="20">
        <v>7114.24</v>
      </c>
      <c r="J529" s="20">
        <f t="shared" si="16"/>
        <v>92.39272727272737</v>
      </c>
      <c r="K529" s="20">
        <f t="shared" si="17"/>
        <v>646.74909090909159</v>
      </c>
      <c r="M529"/>
    </row>
    <row r="530" spans="1:13" x14ac:dyDescent="0.35">
      <c r="A530">
        <v>529</v>
      </c>
      <c r="B530" t="s">
        <v>946</v>
      </c>
      <c r="C530" t="s">
        <v>1077</v>
      </c>
      <c r="D530">
        <v>4</v>
      </c>
      <c r="E530" t="s">
        <v>501</v>
      </c>
      <c r="F530" s="2">
        <v>45958</v>
      </c>
      <c r="G530" s="20">
        <v>424.67272727272723</v>
      </c>
      <c r="H530" s="20">
        <v>467.14</v>
      </c>
      <c r="I530" s="20">
        <v>1868.56</v>
      </c>
      <c r="J530" s="20">
        <f t="shared" si="16"/>
        <v>42.467272727272757</v>
      </c>
      <c r="K530" s="20">
        <f t="shared" si="17"/>
        <v>169.86909090909103</v>
      </c>
      <c r="M530"/>
    </row>
    <row r="531" spans="1:13" x14ac:dyDescent="0.35">
      <c r="A531">
        <v>530</v>
      </c>
      <c r="B531" t="s">
        <v>946</v>
      </c>
      <c r="C531" t="s">
        <v>1077</v>
      </c>
      <c r="D531">
        <v>6</v>
      </c>
      <c r="E531" t="s">
        <v>501</v>
      </c>
      <c r="F531" s="2">
        <v>45958</v>
      </c>
      <c r="G531" s="20">
        <v>424.67272727272723</v>
      </c>
      <c r="H531" s="20">
        <v>467.14</v>
      </c>
      <c r="I531" s="20">
        <v>2802.84</v>
      </c>
      <c r="J531" s="20">
        <f t="shared" si="16"/>
        <v>42.467272727272757</v>
      </c>
      <c r="K531" s="20">
        <f t="shared" si="17"/>
        <v>254.80363636363654</v>
      </c>
      <c r="M531"/>
    </row>
    <row r="532" spans="1:13" x14ac:dyDescent="0.35">
      <c r="A532">
        <v>531</v>
      </c>
      <c r="B532" t="s">
        <v>949</v>
      </c>
      <c r="C532" t="s">
        <v>363</v>
      </c>
      <c r="D532">
        <v>1</v>
      </c>
      <c r="E532" t="s">
        <v>95</v>
      </c>
      <c r="F532" s="2">
        <v>45958</v>
      </c>
      <c r="G532" s="20">
        <v>134.81818181818181</v>
      </c>
      <c r="H532" s="20">
        <v>148.30000000000001</v>
      </c>
      <c r="I532" s="20">
        <v>175</v>
      </c>
      <c r="J532" s="20">
        <f t="shared" si="16"/>
        <v>13.481818181818198</v>
      </c>
      <c r="K532" s="20">
        <f t="shared" si="17"/>
        <v>13.481818181818198</v>
      </c>
      <c r="M532"/>
    </row>
    <row r="533" spans="1:13" x14ac:dyDescent="0.35">
      <c r="A533">
        <v>534</v>
      </c>
      <c r="B533" t="s">
        <v>950</v>
      </c>
      <c r="C533" t="s">
        <v>1077</v>
      </c>
      <c r="D533">
        <v>2</v>
      </c>
      <c r="E533" t="s">
        <v>95</v>
      </c>
      <c r="F533" s="2">
        <v>45958</v>
      </c>
      <c r="G533" s="20">
        <v>436.5090909090909</v>
      </c>
      <c r="H533" s="20">
        <v>480.16</v>
      </c>
      <c r="I533" s="20">
        <v>1008.34</v>
      </c>
      <c r="J533" s="20">
        <f t="shared" si="16"/>
        <v>43.650909090909124</v>
      </c>
      <c r="K533" s="20">
        <f t="shared" si="17"/>
        <v>87.301818181818248</v>
      </c>
      <c r="M533"/>
    </row>
    <row r="534" spans="1:13" x14ac:dyDescent="0.35">
      <c r="A534">
        <v>535</v>
      </c>
      <c r="B534" t="s">
        <v>951</v>
      </c>
      <c r="C534" t="s">
        <v>1076</v>
      </c>
      <c r="D534">
        <v>2</v>
      </c>
      <c r="E534" t="s">
        <v>95</v>
      </c>
      <c r="F534" s="2">
        <v>45958</v>
      </c>
      <c r="G534" s="20">
        <v>154.21818181818179</v>
      </c>
      <c r="H534" s="20">
        <v>169.64</v>
      </c>
      <c r="I534" s="20">
        <v>345.56</v>
      </c>
      <c r="J534" s="20">
        <f t="shared" si="16"/>
        <v>15.421818181818196</v>
      </c>
      <c r="K534" s="20">
        <f t="shared" si="17"/>
        <v>30.843636363636392</v>
      </c>
      <c r="M534"/>
    </row>
    <row r="535" spans="1:13" x14ac:dyDescent="0.35">
      <c r="A535">
        <v>536</v>
      </c>
      <c r="B535" t="s">
        <v>952</v>
      </c>
      <c r="C535" t="s">
        <v>366</v>
      </c>
      <c r="D535">
        <v>1</v>
      </c>
      <c r="E535" t="s">
        <v>95</v>
      </c>
      <c r="F535" s="2">
        <v>45958</v>
      </c>
      <c r="G535" s="20">
        <v>83.763636363636351</v>
      </c>
      <c r="H535" s="20">
        <v>92.14</v>
      </c>
      <c r="I535" s="20">
        <v>93.84</v>
      </c>
      <c r="J535" s="20">
        <f t="shared" si="16"/>
        <v>8.3763636363636493</v>
      </c>
      <c r="K535" s="20">
        <f t="shared" si="17"/>
        <v>8.3763636363636493</v>
      </c>
      <c r="M535"/>
    </row>
    <row r="536" spans="1:13" x14ac:dyDescent="0.35">
      <c r="A536">
        <v>537</v>
      </c>
      <c r="B536" t="s">
        <v>953</v>
      </c>
      <c r="C536" t="s">
        <v>1076</v>
      </c>
      <c r="D536">
        <v>1</v>
      </c>
      <c r="E536" t="s">
        <v>95</v>
      </c>
      <c r="F536" s="2">
        <v>45958</v>
      </c>
      <c r="G536" s="20">
        <v>160.87272727272727</v>
      </c>
      <c r="H536" s="20">
        <v>176.96</v>
      </c>
      <c r="I536" s="20">
        <v>180.23</v>
      </c>
      <c r="J536" s="20">
        <f t="shared" si="16"/>
        <v>16.087272727272733</v>
      </c>
      <c r="K536" s="20">
        <f t="shared" si="17"/>
        <v>16.087272727272733</v>
      </c>
      <c r="M536"/>
    </row>
    <row r="537" spans="1:13" x14ac:dyDescent="0.35">
      <c r="A537">
        <v>538</v>
      </c>
      <c r="B537" t="s">
        <v>954</v>
      </c>
      <c r="C537" t="s">
        <v>359</v>
      </c>
      <c r="D537">
        <v>1</v>
      </c>
      <c r="E537" t="s">
        <v>95</v>
      </c>
      <c r="F537" s="2">
        <v>45958</v>
      </c>
      <c r="G537" s="20">
        <v>604.62727272727273</v>
      </c>
      <c r="H537" s="20">
        <v>665.09</v>
      </c>
      <c r="I537" s="20">
        <v>761.26</v>
      </c>
      <c r="J537" s="20">
        <f t="shared" si="16"/>
        <v>60.462727272727307</v>
      </c>
      <c r="K537" s="20">
        <f t="shared" si="17"/>
        <v>60.462727272727307</v>
      </c>
      <c r="M537"/>
    </row>
    <row r="538" spans="1:13" x14ac:dyDescent="0.35">
      <c r="A538">
        <v>539</v>
      </c>
      <c r="B538" t="s">
        <v>955</v>
      </c>
      <c r="C538" t="s">
        <v>361</v>
      </c>
      <c r="D538">
        <v>1</v>
      </c>
      <c r="E538" t="s">
        <v>95</v>
      </c>
      <c r="F538" s="2">
        <v>45958</v>
      </c>
      <c r="G538" s="20">
        <v>385.71818181818179</v>
      </c>
      <c r="H538" s="20">
        <v>424.29</v>
      </c>
      <c r="I538" s="20">
        <v>432.14</v>
      </c>
      <c r="J538" s="20">
        <f t="shared" si="16"/>
        <v>38.57181818181823</v>
      </c>
      <c r="K538" s="20">
        <f t="shared" si="17"/>
        <v>38.57181818181823</v>
      </c>
      <c r="M538"/>
    </row>
    <row r="539" spans="1:13" x14ac:dyDescent="0.35">
      <c r="A539">
        <v>540</v>
      </c>
      <c r="B539" t="s">
        <v>956</v>
      </c>
      <c r="C539" t="s">
        <v>364</v>
      </c>
      <c r="D539">
        <v>1</v>
      </c>
      <c r="E539" t="s">
        <v>95</v>
      </c>
      <c r="F539" s="2">
        <v>45958</v>
      </c>
      <c r="G539" s="20">
        <v>213.30909090909088</v>
      </c>
      <c r="H539" s="20">
        <v>234.64</v>
      </c>
      <c r="I539" s="20">
        <v>238.98</v>
      </c>
      <c r="J539" s="20">
        <f t="shared" si="16"/>
        <v>21.330909090909103</v>
      </c>
      <c r="K539" s="20">
        <f t="shared" si="17"/>
        <v>21.330909090909103</v>
      </c>
      <c r="M539"/>
    </row>
    <row r="540" spans="1:13" x14ac:dyDescent="0.35">
      <c r="A540">
        <v>541</v>
      </c>
      <c r="B540" t="s">
        <v>957</v>
      </c>
      <c r="C540" t="s">
        <v>362</v>
      </c>
      <c r="D540">
        <v>5</v>
      </c>
      <c r="E540" t="s">
        <v>95</v>
      </c>
      <c r="F540" s="2">
        <v>45958</v>
      </c>
      <c r="G540" s="20">
        <v>249.6</v>
      </c>
      <c r="H540" s="20">
        <v>274.56</v>
      </c>
      <c r="I540" s="20">
        <v>1258.3699999999999</v>
      </c>
      <c r="J540" s="20">
        <f t="shared" si="16"/>
        <v>24.960000000000008</v>
      </c>
      <c r="K540" s="20">
        <f t="shared" si="17"/>
        <v>124.80000000000004</v>
      </c>
      <c r="M540"/>
    </row>
    <row r="541" spans="1:13" x14ac:dyDescent="0.35">
      <c r="A541">
        <v>542</v>
      </c>
      <c r="B541" t="s">
        <v>958</v>
      </c>
      <c r="C541" t="s">
        <v>359</v>
      </c>
      <c r="D541">
        <v>1</v>
      </c>
      <c r="E541" t="s">
        <v>95</v>
      </c>
      <c r="F541" s="2">
        <v>45958</v>
      </c>
      <c r="G541" s="20">
        <v>1118.6454545454544</v>
      </c>
      <c r="H541" s="20">
        <v>1230.51</v>
      </c>
      <c r="I541" s="20">
        <v>1408.43</v>
      </c>
      <c r="J541" s="20">
        <f t="shared" si="16"/>
        <v>111.86454545454558</v>
      </c>
      <c r="K541" s="20">
        <f t="shared" si="17"/>
        <v>111.86454545454558</v>
      </c>
      <c r="M541"/>
    </row>
    <row r="542" spans="1:13" x14ac:dyDescent="0.35">
      <c r="A542">
        <v>543</v>
      </c>
      <c r="B542" t="s">
        <v>959</v>
      </c>
      <c r="C542" t="s">
        <v>1077</v>
      </c>
      <c r="D542">
        <v>3</v>
      </c>
      <c r="E542" t="s">
        <v>95</v>
      </c>
      <c r="F542" s="2">
        <v>45958</v>
      </c>
      <c r="G542" s="20">
        <v>187.49999999999997</v>
      </c>
      <c r="H542" s="20">
        <v>206.25</v>
      </c>
      <c r="I542" s="20">
        <v>630.19000000000005</v>
      </c>
      <c r="J542" s="20">
        <f t="shared" si="16"/>
        <v>18.750000000000028</v>
      </c>
      <c r="K542" s="20">
        <f t="shared" si="17"/>
        <v>56.250000000000085</v>
      </c>
      <c r="M542"/>
    </row>
    <row r="543" spans="1:13" x14ac:dyDescent="0.35">
      <c r="A543">
        <v>544</v>
      </c>
      <c r="B543" t="s">
        <v>960</v>
      </c>
      <c r="C543" t="s">
        <v>365</v>
      </c>
      <c r="D543">
        <v>2</v>
      </c>
      <c r="E543" t="s">
        <v>95</v>
      </c>
      <c r="F543" s="2">
        <v>45958</v>
      </c>
      <c r="G543" s="20">
        <v>207.30909090909088</v>
      </c>
      <c r="H543" s="20">
        <v>228.04</v>
      </c>
      <c r="I543" s="20">
        <v>464.52</v>
      </c>
      <c r="J543" s="20">
        <f t="shared" si="16"/>
        <v>20.730909090909108</v>
      </c>
      <c r="K543" s="20">
        <f t="shared" si="17"/>
        <v>41.461818181818217</v>
      </c>
      <c r="M543"/>
    </row>
    <row r="544" spans="1:13" x14ac:dyDescent="0.35">
      <c r="A544">
        <v>545</v>
      </c>
      <c r="B544" t="s">
        <v>961</v>
      </c>
      <c r="C544" t="s">
        <v>1077</v>
      </c>
      <c r="D544">
        <v>1</v>
      </c>
      <c r="E544" t="s">
        <v>95</v>
      </c>
      <c r="F544" s="2">
        <v>45958</v>
      </c>
      <c r="G544" s="20">
        <v>84.418181818181807</v>
      </c>
      <c r="H544" s="20">
        <v>92.86</v>
      </c>
      <c r="I544" s="20">
        <v>94.57</v>
      </c>
      <c r="J544" s="20">
        <f t="shared" si="16"/>
        <v>8.4418181818181921</v>
      </c>
      <c r="K544" s="20">
        <f t="shared" si="17"/>
        <v>8.4418181818181921</v>
      </c>
      <c r="M544"/>
    </row>
    <row r="545" spans="1:13" x14ac:dyDescent="0.35">
      <c r="A545">
        <v>546</v>
      </c>
      <c r="B545" t="s">
        <v>962</v>
      </c>
      <c r="C545" t="s">
        <v>368</v>
      </c>
      <c r="D545">
        <v>5</v>
      </c>
      <c r="E545" t="s">
        <v>95</v>
      </c>
      <c r="F545" s="2">
        <v>45958</v>
      </c>
      <c r="G545" s="20">
        <v>73.699999999999989</v>
      </c>
      <c r="H545" s="20">
        <v>81.069999999999993</v>
      </c>
      <c r="I545" s="20">
        <v>371.57</v>
      </c>
      <c r="J545" s="20">
        <f t="shared" si="16"/>
        <v>7.3700000000000045</v>
      </c>
      <c r="K545" s="20">
        <f t="shared" si="17"/>
        <v>36.850000000000023</v>
      </c>
      <c r="M545"/>
    </row>
    <row r="546" spans="1:13" x14ac:dyDescent="0.35">
      <c r="A546">
        <v>547</v>
      </c>
      <c r="B546" t="s">
        <v>963</v>
      </c>
      <c r="C546" t="s">
        <v>365</v>
      </c>
      <c r="D546">
        <v>1</v>
      </c>
      <c r="E546" t="s">
        <v>95</v>
      </c>
      <c r="F546" s="2">
        <v>45958</v>
      </c>
      <c r="G546" s="20">
        <v>69.236363636363635</v>
      </c>
      <c r="H546" s="20">
        <v>76.16</v>
      </c>
      <c r="I546" s="20">
        <v>79.959999999999994</v>
      </c>
      <c r="J546" s="20">
        <f t="shared" si="16"/>
        <v>6.923636363636362</v>
      </c>
      <c r="K546" s="20">
        <f t="shared" si="17"/>
        <v>6.923636363636362</v>
      </c>
      <c r="M546"/>
    </row>
    <row r="547" spans="1:13" x14ac:dyDescent="0.35">
      <c r="A547">
        <v>548</v>
      </c>
      <c r="B547" t="s">
        <v>977</v>
      </c>
      <c r="C547" t="s">
        <v>1077</v>
      </c>
      <c r="D547">
        <v>1</v>
      </c>
      <c r="E547" t="s">
        <v>95</v>
      </c>
      <c r="F547" s="2">
        <v>45959</v>
      </c>
      <c r="G547" s="20">
        <v>474.75454545454545</v>
      </c>
      <c r="H547" s="20">
        <v>522.23</v>
      </c>
      <c r="I547" s="20">
        <v>548.35</v>
      </c>
      <c r="J547" s="20">
        <f t="shared" si="16"/>
        <v>47.475454545454568</v>
      </c>
      <c r="K547" s="20">
        <f t="shared" si="17"/>
        <v>47.475454545454568</v>
      </c>
      <c r="M547"/>
    </row>
    <row r="548" spans="1:13" x14ac:dyDescent="0.35">
      <c r="A548">
        <v>549</v>
      </c>
      <c r="B548" t="s">
        <v>978</v>
      </c>
      <c r="C548" t="s">
        <v>361</v>
      </c>
      <c r="D548">
        <v>1</v>
      </c>
      <c r="E548" t="s">
        <v>95</v>
      </c>
      <c r="F548" s="2">
        <v>45959</v>
      </c>
      <c r="G548" s="20">
        <v>148.22727272727272</v>
      </c>
      <c r="H548" s="20">
        <v>163.05000000000001</v>
      </c>
      <c r="I548" s="20">
        <v>166.06</v>
      </c>
      <c r="J548" s="20">
        <f t="shared" si="16"/>
        <v>14.822727272727292</v>
      </c>
      <c r="K548" s="20">
        <f t="shared" si="17"/>
        <v>14.822727272727292</v>
      </c>
      <c r="M548"/>
    </row>
    <row r="549" spans="1:13" x14ac:dyDescent="0.35">
      <c r="A549">
        <v>550</v>
      </c>
      <c r="B549" t="s">
        <v>979</v>
      </c>
      <c r="C549" t="s">
        <v>366</v>
      </c>
      <c r="D549">
        <v>10</v>
      </c>
      <c r="E549" t="s">
        <v>95</v>
      </c>
      <c r="F549" s="2">
        <v>45959</v>
      </c>
      <c r="G549" s="20">
        <v>85.636363636363626</v>
      </c>
      <c r="H549" s="20">
        <v>94.2</v>
      </c>
      <c r="I549" s="20">
        <v>959.42</v>
      </c>
      <c r="J549" s="20">
        <f t="shared" si="16"/>
        <v>8.5636363636363768</v>
      </c>
      <c r="K549" s="20">
        <f t="shared" si="17"/>
        <v>85.636363636363768</v>
      </c>
      <c r="M549"/>
    </row>
    <row r="550" spans="1:13" x14ac:dyDescent="0.35">
      <c r="A550">
        <v>551</v>
      </c>
      <c r="B550" t="s">
        <v>980</v>
      </c>
      <c r="C550" t="s">
        <v>361</v>
      </c>
      <c r="D550">
        <v>1</v>
      </c>
      <c r="E550" t="s">
        <v>95</v>
      </c>
      <c r="F550" s="2">
        <v>45959</v>
      </c>
      <c r="G550" s="20">
        <v>174.54545454545453</v>
      </c>
      <c r="H550" s="20">
        <v>192</v>
      </c>
      <c r="I550" s="20">
        <v>195.56</v>
      </c>
      <c r="J550" s="20">
        <f t="shared" si="16"/>
        <v>17.454545454545467</v>
      </c>
      <c r="K550" s="20">
        <f t="shared" si="17"/>
        <v>17.454545454545467</v>
      </c>
      <c r="M550"/>
    </row>
    <row r="551" spans="1:13" x14ac:dyDescent="0.35">
      <c r="A551">
        <v>552</v>
      </c>
      <c r="B551" t="s">
        <v>287</v>
      </c>
      <c r="C551" t="s">
        <v>365</v>
      </c>
      <c r="D551">
        <v>1</v>
      </c>
      <c r="E551" t="s">
        <v>95</v>
      </c>
      <c r="F551" s="2">
        <v>45959</v>
      </c>
      <c r="G551" s="20">
        <v>207.55454545454543</v>
      </c>
      <c r="H551" s="20">
        <v>228.31</v>
      </c>
      <c r="I551" s="20">
        <v>232.54</v>
      </c>
      <c r="J551" s="20">
        <f t="shared" si="16"/>
        <v>20.755454545454569</v>
      </c>
      <c r="K551" s="20">
        <f t="shared" si="17"/>
        <v>20.755454545454569</v>
      </c>
      <c r="M551"/>
    </row>
    <row r="552" spans="1:13" x14ac:dyDescent="0.35">
      <c r="A552">
        <v>553</v>
      </c>
      <c r="B552" t="s">
        <v>981</v>
      </c>
      <c r="C552" t="s">
        <v>361</v>
      </c>
      <c r="D552">
        <v>5</v>
      </c>
      <c r="E552" t="s">
        <v>95</v>
      </c>
      <c r="F552" s="2">
        <v>45959</v>
      </c>
      <c r="G552" s="20">
        <v>241.59999999999997</v>
      </c>
      <c r="H552" s="20">
        <v>265.76</v>
      </c>
      <c r="I552" s="20">
        <v>1520.94</v>
      </c>
      <c r="J552" s="20">
        <f t="shared" si="16"/>
        <v>24.160000000000025</v>
      </c>
      <c r="K552" s="20">
        <f t="shared" si="17"/>
        <v>120.80000000000013</v>
      </c>
      <c r="M552"/>
    </row>
    <row r="553" spans="1:13" x14ac:dyDescent="0.35">
      <c r="A553">
        <v>554</v>
      </c>
      <c r="B553" t="s">
        <v>982</v>
      </c>
      <c r="C553" t="s">
        <v>365</v>
      </c>
      <c r="D553">
        <v>4</v>
      </c>
      <c r="E553" t="s">
        <v>95</v>
      </c>
      <c r="F553" s="2">
        <v>45959</v>
      </c>
      <c r="G553" s="20">
        <v>140.90909090909091</v>
      </c>
      <c r="H553" s="20">
        <v>155</v>
      </c>
      <c r="I553" s="20">
        <v>631.48</v>
      </c>
      <c r="J553" s="20">
        <f t="shared" si="16"/>
        <v>14.090909090909093</v>
      </c>
      <c r="K553" s="20">
        <f t="shared" si="17"/>
        <v>56.363636363636374</v>
      </c>
      <c r="M553"/>
    </row>
    <row r="554" spans="1:13" x14ac:dyDescent="0.35">
      <c r="A554">
        <v>555</v>
      </c>
      <c r="B554" t="s">
        <v>983</v>
      </c>
      <c r="C554" t="s">
        <v>1077</v>
      </c>
      <c r="D554">
        <v>3</v>
      </c>
      <c r="E554" t="s">
        <v>95</v>
      </c>
      <c r="F554" s="2">
        <v>45959</v>
      </c>
      <c r="G554" s="20">
        <v>115.41818181818181</v>
      </c>
      <c r="H554" s="20">
        <v>126.96</v>
      </c>
      <c r="I554" s="20">
        <v>387.93</v>
      </c>
      <c r="J554" s="20">
        <f t="shared" si="16"/>
        <v>11.541818181818186</v>
      </c>
      <c r="K554" s="20">
        <f t="shared" si="17"/>
        <v>34.625454545454559</v>
      </c>
      <c r="M554"/>
    </row>
    <row r="555" spans="1:13" x14ac:dyDescent="0.35">
      <c r="A555">
        <v>556</v>
      </c>
      <c r="B555" t="s">
        <v>984</v>
      </c>
      <c r="C555" t="s">
        <v>366</v>
      </c>
      <c r="D555">
        <v>1</v>
      </c>
      <c r="E555" t="s">
        <v>95</v>
      </c>
      <c r="F555" s="2">
        <v>45959</v>
      </c>
      <c r="G555" s="20">
        <v>85.509090909090901</v>
      </c>
      <c r="H555" s="20">
        <v>94.06</v>
      </c>
      <c r="I555" s="20">
        <v>95.8</v>
      </c>
      <c r="J555" s="20">
        <f t="shared" si="16"/>
        <v>8.5509090909091015</v>
      </c>
      <c r="K555" s="20">
        <f t="shared" si="17"/>
        <v>8.5509090909091015</v>
      </c>
      <c r="M555"/>
    </row>
    <row r="556" spans="1:13" x14ac:dyDescent="0.35">
      <c r="A556">
        <v>557</v>
      </c>
      <c r="B556" t="s">
        <v>378</v>
      </c>
      <c r="C556" t="s">
        <v>1076</v>
      </c>
      <c r="D556">
        <v>2</v>
      </c>
      <c r="E556" t="s">
        <v>37</v>
      </c>
      <c r="F556" s="2">
        <v>45959</v>
      </c>
      <c r="G556" s="20">
        <v>71.427272727272722</v>
      </c>
      <c r="H556" s="20">
        <v>78.569999999999993</v>
      </c>
      <c r="I556" s="20">
        <v>160.05000000000001</v>
      </c>
      <c r="J556" s="20">
        <f t="shared" si="16"/>
        <v>7.1427272727272708</v>
      </c>
      <c r="K556" s="20">
        <f t="shared" si="17"/>
        <v>14.285454545454542</v>
      </c>
      <c r="M556"/>
    </row>
    <row r="557" spans="1:13" x14ac:dyDescent="0.35">
      <c r="A557">
        <v>558</v>
      </c>
      <c r="B557" t="s">
        <v>992</v>
      </c>
      <c r="C557" t="s">
        <v>1076</v>
      </c>
      <c r="D557">
        <v>5</v>
      </c>
      <c r="E557" t="s">
        <v>37</v>
      </c>
      <c r="F557" s="2">
        <v>45959</v>
      </c>
      <c r="G557" s="20">
        <v>136.36363636363635</v>
      </c>
      <c r="H557" s="20">
        <v>150</v>
      </c>
      <c r="I557" s="20">
        <v>763.88</v>
      </c>
      <c r="J557" s="20">
        <f t="shared" si="16"/>
        <v>13.636363636363654</v>
      </c>
      <c r="K557" s="20">
        <f t="shared" si="17"/>
        <v>68.181818181818272</v>
      </c>
      <c r="M557"/>
    </row>
    <row r="558" spans="1:13" x14ac:dyDescent="0.35">
      <c r="A558">
        <v>559</v>
      </c>
      <c r="B558" t="s">
        <v>993</v>
      </c>
      <c r="C558" t="s">
        <v>1076</v>
      </c>
      <c r="D558">
        <v>2</v>
      </c>
      <c r="E558" t="s">
        <v>37</v>
      </c>
      <c r="F558" s="2">
        <v>45959</v>
      </c>
      <c r="G558" s="20">
        <v>77.918181818181807</v>
      </c>
      <c r="H558" s="20">
        <v>85.71</v>
      </c>
      <c r="I558" s="20">
        <v>174.6</v>
      </c>
      <c r="J558" s="20">
        <f t="shared" si="16"/>
        <v>7.7918181818181864</v>
      </c>
      <c r="K558" s="20">
        <f t="shared" si="17"/>
        <v>15.583636363636373</v>
      </c>
      <c r="M558"/>
    </row>
    <row r="559" spans="1:13" x14ac:dyDescent="0.35">
      <c r="A559">
        <v>560</v>
      </c>
      <c r="B559" t="s">
        <v>994</v>
      </c>
      <c r="C559" t="s">
        <v>1076</v>
      </c>
      <c r="D559">
        <v>1</v>
      </c>
      <c r="E559" t="s">
        <v>37</v>
      </c>
      <c r="F559" s="2">
        <v>45959</v>
      </c>
      <c r="G559" s="20">
        <v>94.872727272727261</v>
      </c>
      <c r="H559" s="20">
        <v>104.36</v>
      </c>
      <c r="I559" s="20">
        <v>106.29</v>
      </c>
      <c r="J559" s="20">
        <f t="shared" si="16"/>
        <v>9.4872727272727388</v>
      </c>
      <c r="K559" s="20">
        <f t="shared" si="17"/>
        <v>9.4872727272727388</v>
      </c>
      <c r="M559"/>
    </row>
    <row r="560" spans="1:13" x14ac:dyDescent="0.35">
      <c r="A560">
        <v>561</v>
      </c>
      <c r="B560" t="s">
        <v>995</v>
      </c>
      <c r="C560" t="s">
        <v>366</v>
      </c>
      <c r="D560">
        <v>1</v>
      </c>
      <c r="E560" t="s">
        <v>37</v>
      </c>
      <c r="F560" s="2">
        <v>45959</v>
      </c>
      <c r="G560" s="20">
        <v>60.18181818181818</v>
      </c>
      <c r="H560" s="20">
        <v>66.2</v>
      </c>
      <c r="I560" s="20">
        <v>67.430000000000007</v>
      </c>
      <c r="J560" s="20">
        <f t="shared" si="16"/>
        <v>6.018181818181823</v>
      </c>
      <c r="K560" s="20">
        <f t="shared" si="17"/>
        <v>6.018181818181823</v>
      </c>
      <c r="M560"/>
    </row>
    <row r="561" spans="1:13" x14ac:dyDescent="0.35">
      <c r="A561">
        <v>562</v>
      </c>
      <c r="B561" t="s">
        <v>996</v>
      </c>
      <c r="C561" t="s">
        <v>366</v>
      </c>
      <c r="D561">
        <v>1</v>
      </c>
      <c r="E561" t="s">
        <v>37</v>
      </c>
      <c r="F561" s="2">
        <v>45959</v>
      </c>
      <c r="G561" s="20">
        <v>124.34545454545453</v>
      </c>
      <c r="H561" s="20">
        <v>136.78</v>
      </c>
      <c r="I561" s="20">
        <v>139.32</v>
      </c>
      <c r="J561" s="20">
        <f t="shared" si="16"/>
        <v>12.434545454545471</v>
      </c>
      <c r="K561" s="20">
        <f t="shared" si="17"/>
        <v>12.434545454545471</v>
      </c>
      <c r="M561"/>
    </row>
    <row r="562" spans="1:13" x14ac:dyDescent="0.35">
      <c r="A562">
        <v>563</v>
      </c>
      <c r="B562" t="s">
        <v>337</v>
      </c>
      <c r="C562" t="s">
        <v>1075</v>
      </c>
      <c r="D562">
        <v>1</v>
      </c>
      <c r="E562" t="s">
        <v>37</v>
      </c>
      <c r="F562" s="2">
        <v>45959</v>
      </c>
      <c r="G562" s="20">
        <v>227.27272727272725</v>
      </c>
      <c r="H562" s="20">
        <v>250</v>
      </c>
      <c r="I562" s="20">
        <v>254.62</v>
      </c>
      <c r="J562" s="20">
        <f t="shared" si="16"/>
        <v>22.727272727272748</v>
      </c>
      <c r="K562" s="20">
        <f t="shared" si="17"/>
        <v>22.727272727272748</v>
      </c>
      <c r="M562"/>
    </row>
    <row r="563" spans="1:13" x14ac:dyDescent="0.35">
      <c r="A563">
        <v>564</v>
      </c>
      <c r="B563" t="s">
        <v>997</v>
      </c>
      <c r="C563" t="s">
        <v>1076</v>
      </c>
      <c r="D563">
        <v>5</v>
      </c>
      <c r="E563" t="s">
        <v>37</v>
      </c>
      <c r="F563" s="2">
        <v>45959</v>
      </c>
      <c r="G563" s="20">
        <v>4.8</v>
      </c>
      <c r="H563" s="20">
        <v>5.28</v>
      </c>
      <c r="I563" s="20">
        <v>26.89</v>
      </c>
      <c r="J563" s="20">
        <f t="shared" si="16"/>
        <v>0.48000000000000043</v>
      </c>
      <c r="K563" s="20">
        <f t="shared" si="17"/>
        <v>2.4000000000000021</v>
      </c>
      <c r="M563"/>
    </row>
    <row r="564" spans="1:13" x14ac:dyDescent="0.35">
      <c r="A564">
        <v>565</v>
      </c>
      <c r="B564" t="s">
        <v>998</v>
      </c>
      <c r="C564" t="s">
        <v>1076</v>
      </c>
      <c r="D564">
        <v>1</v>
      </c>
      <c r="E564" t="s">
        <v>37</v>
      </c>
      <c r="F564" s="2">
        <v>45959</v>
      </c>
      <c r="G564" s="20">
        <v>96.072727272727278</v>
      </c>
      <c r="H564" s="20">
        <v>105.68</v>
      </c>
      <c r="I564" s="20">
        <v>107.63</v>
      </c>
      <c r="J564" s="20">
        <f t="shared" si="16"/>
        <v>9.6072727272727292</v>
      </c>
      <c r="K564" s="20">
        <f t="shared" si="17"/>
        <v>9.6072727272727292</v>
      </c>
      <c r="M564"/>
    </row>
    <row r="565" spans="1:13" x14ac:dyDescent="0.35">
      <c r="A565">
        <v>566</v>
      </c>
      <c r="B565" t="s">
        <v>999</v>
      </c>
      <c r="C565" t="s">
        <v>369</v>
      </c>
      <c r="D565">
        <v>1</v>
      </c>
      <c r="E565" t="s">
        <v>37</v>
      </c>
      <c r="F565" s="2">
        <v>45959</v>
      </c>
      <c r="G565" s="20">
        <v>131.81818181818181</v>
      </c>
      <c r="H565" s="20">
        <v>145</v>
      </c>
      <c r="I565" s="20">
        <v>147.69</v>
      </c>
      <c r="J565" s="20">
        <f t="shared" si="16"/>
        <v>13.181818181818187</v>
      </c>
      <c r="K565" s="20">
        <f t="shared" si="17"/>
        <v>13.181818181818187</v>
      </c>
      <c r="M565"/>
    </row>
    <row r="566" spans="1:13" x14ac:dyDescent="0.35">
      <c r="A566">
        <v>567</v>
      </c>
      <c r="B566" t="s">
        <v>1009</v>
      </c>
      <c r="C566" t="s">
        <v>361</v>
      </c>
      <c r="D566">
        <v>4</v>
      </c>
      <c r="E566" t="s">
        <v>134</v>
      </c>
      <c r="F566" s="2">
        <v>45959</v>
      </c>
      <c r="G566" s="20">
        <v>426.5</v>
      </c>
      <c r="H566" s="20">
        <v>469.15</v>
      </c>
      <c r="I566" s="20">
        <v>5369.89</v>
      </c>
      <c r="J566" s="20">
        <f t="shared" si="16"/>
        <v>42.649999999999977</v>
      </c>
      <c r="K566" s="20">
        <f t="shared" si="17"/>
        <v>170.59999999999991</v>
      </c>
      <c r="M566"/>
    </row>
    <row r="567" spans="1:13" x14ac:dyDescent="0.35">
      <c r="A567">
        <v>568</v>
      </c>
      <c r="B567" t="s">
        <v>590</v>
      </c>
      <c r="C567" t="s">
        <v>361</v>
      </c>
      <c r="D567">
        <v>22</v>
      </c>
      <c r="E567" t="s">
        <v>594</v>
      </c>
      <c r="F567" s="2">
        <v>45960</v>
      </c>
      <c r="G567" s="20">
        <v>202.24545454545452</v>
      </c>
      <c r="H567" s="20">
        <v>222.47</v>
      </c>
      <c r="I567" s="20">
        <v>4449.3999999999996</v>
      </c>
      <c r="J567" s="20">
        <f t="shared" si="16"/>
        <v>20.224545454545478</v>
      </c>
      <c r="K567" s="20">
        <f t="shared" si="17"/>
        <v>444.94000000000051</v>
      </c>
      <c r="M567"/>
    </row>
    <row r="568" spans="1:13" x14ac:dyDescent="0.35">
      <c r="A568">
        <v>569</v>
      </c>
      <c r="B568" t="s">
        <v>591</v>
      </c>
      <c r="C568" t="s">
        <v>361</v>
      </c>
      <c r="D568">
        <v>33</v>
      </c>
      <c r="E568" t="s">
        <v>594</v>
      </c>
      <c r="F568" s="2">
        <v>45960</v>
      </c>
      <c r="G568" s="20">
        <v>78.272727272727266</v>
      </c>
      <c r="H568" s="20">
        <v>86.1</v>
      </c>
      <c r="I568" s="20">
        <v>2583</v>
      </c>
      <c r="J568" s="20">
        <f t="shared" si="16"/>
        <v>7.827272727272728</v>
      </c>
      <c r="K568" s="20">
        <f t="shared" si="17"/>
        <v>258.3</v>
      </c>
      <c r="M568"/>
    </row>
    <row r="569" spans="1:13" x14ac:dyDescent="0.35">
      <c r="A569">
        <v>570</v>
      </c>
      <c r="B569" t="s">
        <v>592</v>
      </c>
      <c r="C569" t="s">
        <v>365</v>
      </c>
      <c r="D569">
        <v>11</v>
      </c>
      <c r="E569" t="s">
        <v>594</v>
      </c>
      <c r="F569" s="2">
        <v>45960</v>
      </c>
      <c r="G569" s="20">
        <v>187.0090909090909</v>
      </c>
      <c r="H569" s="20">
        <v>205.71</v>
      </c>
      <c r="I569" s="20">
        <v>2057.1</v>
      </c>
      <c r="J569" s="20">
        <f t="shared" si="16"/>
        <v>18.700909090909107</v>
      </c>
      <c r="K569" s="20">
        <f t="shared" si="17"/>
        <v>205.71000000000018</v>
      </c>
      <c r="M569"/>
    </row>
    <row r="570" spans="1:13" x14ac:dyDescent="0.35">
      <c r="A570">
        <v>571</v>
      </c>
      <c r="B570" t="s">
        <v>803</v>
      </c>
      <c r="C570" t="s">
        <v>1076</v>
      </c>
      <c r="D570">
        <v>12</v>
      </c>
      <c r="E570" t="s">
        <v>95</v>
      </c>
      <c r="F570" s="2">
        <v>45960</v>
      </c>
      <c r="G570" s="20">
        <v>334.41818181818178</v>
      </c>
      <c r="H570" s="20">
        <v>367.86</v>
      </c>
      <c r="I570" s="20">
        <v>3746.66</v>
      </c>
      <c r="J570" s="20">
        <f t="shared" si="16"/>
        <v>33.441818181818235</v>
      </c>
      <c r="K570" s="20">
        <f t="shared" si="17"/>
        <v>401.30181818181882</v>
      </c>
      <c r="M570"/>
    </row>
    <row r="571" spans="1:13" x14ac:dyDescent="0.35">
      <c r="A571">
        <v>572</v>
      </c>
      <c r="B571" t="s">
        <v>1011</v>
      </c>
      <c r="C571" t="s">
        <v>1077</v>
      </c>
      <c r="D571">
        <v>1</v>
      </c>
      <c r="E571" t="s">
        <v>95</v>
      </c>
      <c r="F571" s="2">
        <v>45960</v>
      </c>
      <c r="G571" s="20">
        <v>138.5272727272727</v>
      </c>
      <c r="H571" s="20">
        <v>152.38</v>
      </c>
      <c r="I571" s="20">
        <v>155.21</v>
      </c>
      <c r="J571" s="20">
        <f t="shared" si="16"/>
        <v>13.852727272727293</v>
      </c>
      <c r="K571" s="20">
        <f t="shared" si="17"/>
        <v>13.852727272727293</v>
      </c>
      <c r="M571"/>
    </row>
    <row r="572" spans="1:13" x14ac:dyDescent="0.35">
      <c r="A572">
        <v>573</v>
      </c>
      <c r="B572" t="s">
        <v>1012</v>
      </c>
      <c r="C572" t="s">
        <v>367</v>
      </c>
      <c r="D572">
        <v>3</v>
      </c>
      <c r="E572" t="s">
        <v>95</v>
      </c>
      <c r="F572" s="2">
        <v>45960</v>
      </c>
      <c r="G572" s="20">
        <v>241.25454545454542</v>
      </c>
      <c r="H572" s="20">
        <v>265.38</v>
      </c>
      <c r="I572" s="20">
        <v>510.54</v>
      </c>
      <c r="J572" s="20">
        <f t="shared" si="16"/>
        <v>24.125454545454573</v>
      </c>
      <c r="K572" s="20">
        <f t="shared" si="17"/>
        <v>72.37636363636372</v>
      </c>
      <c r="M572"/>
    </row>
    <row r="573" spans="1:13" x14ac:dyDescent="0.35">
      <c r="A573">
        <v>574</v>
      </c>
      <c r="B573" t="s">
        <v>1013</v>
      </c>
      <c r="C573" t="s">
        <v>1076</v>
      </c>
      <c r="D573">
        <v>2</v>
      </c>
      <c r="E573" t="s">
        <v>95</v>
      </c>
      <c r="F573" s="2">
        <v>45960</v>
      </c>
      <c r="G573" s="20">
        <v>457.85454545454542</v>
      </c>
      <c r="H573" s="20">
        <v>503.64</v>
      </c>
      <c r="I573" s="20">
        <v>1025.92</v>
      </c>
      <c r="J573" s="20">
        <f t="shared" si="16"/>
        <v>45.78545454545457</v>
      </c>
      <c r="K573" s="20">
        <f t="shared" si="17"/>
        <v>91.57090909090914</v>
      </c>
      <c r="M573"/>
    </row>
    <row r="574" spans="1:13" x14ac:dyDescent="0.35">
      <c r="A574">
        <v>575</v>
      </c>
      <c r="B574" t="s">
        <v>994</v>
      </c>
      <c r="C574" t="s">
        <v>1076</v>
      </c>
      <c r="D574">
        <v>1</v>
      </c>
      <c r="E574" t="s">
        <v>95</v>
      </c>
      <c r="F574" s="2">
        <v>45960</v>
      </c>
      <c r="G574" s="20">
        <v>78.054545454545448</v>
      </c>
      <c r="H574" s="20">
        <v>85.86</v>
      </c>
      <c r="I574" s="20">
        <v>87.44</v>
      </c>
      <c r="J574" s="20">
        <f t="shared" si="16"/>
        <v>7.8054545454545519</v>
      </c>
      <c r="K574" s="20">
        <f t="shared" si="17"/>
        <v>7.8054545454545519</v>
      </c>
      <c r="M574"/>
    </row>
    <row r="575" spans="1:13" x14ac:dyDescent="0.35">
      <c r="A575">
        <v>576</v>
      </c>
      <c r="B575" t="s">
        <v>1014</v>
      </c>
      <c r="C575" t="s">
        <v>1076</v>
      </c>
      <c r="D575">
        <v>3</v>
      </c>
      <c r="E575" t="s">
        <v>95</v>
      </c>
      <c r="F575" s="2">
        <v>45960</v>
      </c>
      <c r="G575" s="20">
        <v>89.609090909090895</v>
      </c>
      <c r="H575" s="20">
        <v>98.57</v>
      </c>
      <c r="I575" s="20">
        <v>301.18</v>
      </c>
      <c r="J575" s="20">
        <f t="shared" si="16"/>
        <v>8.960909090909098</v>
      </c>
      <c r="K575" s="20">
        <f t="shared" si="17"/>
        <v>26.882727272727294</v>
      </c>
      <c r="M575"/>
    </row>
    <row r="576" spans="1:13" x14ac:dyDescent="0.35">
      <c r="A576">
        <v>577</v>
      </c>
      <c r="B576" t="s">
        <v>1015</v>
      </c>
      <c r="C576" t="s">
        <v>368</v>
      </c>
      <c r="D576">
        <v>1</v>
      </c>
      <c r="E576" t="s">
        <v>95</v>
      </c>
      <c r="F576" s="2">
        <v>45960</v>
      </c>
      <c r="G576" s="20">
        <v>127.42727272727271</v>
      </c>
      <c r="H576" s="20">
        <v>140.16999999999999</v>
      </c>
      <c r="I576" s="20">
        <v>142.76</v>
      </c>
      <c r="J576" s="20">
        <f t="shared" si="16"/>
        <v>12.742727272727279</v>
      </c>
      <c r="K576" s="20">
        <f t="shared" si="17"/>
        <v>12.742727272727279</v>
      </c>
      <c r="M576"/>
    </row>
    <row r="577" spans="1:13" x14ac:dyDescent="0.35">
      <c r="A577">
        <v>578</v>
      </c>
      <c r="B577" t="s">
        <v>1016</v>
      </c>
      <c r="C577" t="s">
        <v>1077</v>
      </c>
      <c r="D577">
        <v>1</v>
      </c>
      <c r="E577" t="s">
        <v>95</v>
      </c>
      <c r="F577" s="2">
        <v>45960</v>
      </c>
      <c r="G577" s="20">
        <v>857.93636363636358</v>
      </c>
      <c r="H577" s="20">
        <v>943.73</v>
      </c>
      <c r="I577" s="20">
        <v>1080.2</v>
      </c>
      <c r="J577" s="20">
        <f t="shared" si="16"/>
        <v>85.793636363636438</v>
      </c>
      <c r="K577" s="20">
        <f t="shared" si="17"/>
        <v>85.793636363636438</v>
      </c>
      <c r="M577"/>
    </row>
    <row r="578" spans="1:13" x14ac:dyDescent="0.35">
      <c r="A578">
        <v>579</v>
      </c>
      <c r="B578" t="s">
        <v>1017</v>
      </c>
      <c r="C578" t="s">
        <v>1077</v>
      </c>
      <c r="D578">
        <v>1</v>
      </c>
      <c r="E578" t="s">
        <v>95</v>
      </c>
      <c r="F578" s="2">
        <v>45960</v>
      </c>
      <c r="G578" s="20">
        <v>323.46363636363634</v>
      </c>
      <c r="H578" s="20">
        <v>355.81</v>
      </c>
      <c r="I578" s="20">
        <v>362.4</v>
      </c>
      <c r="J578" s="20">
        <f t="shared" ref="J578:J583" si="18">H578-G578</f>
        <v>32.346363636363662</v>
      </c>
      <c r="K578" s="20">
        <f t="shared" ref="K578:K583" si="19">J578*D578</f>
        <v>32.346363636363662</v>
      </c>
      <c r="M578"/>
    </row>
    <row r="579" spans="1:13" x14ac:dyDescent="0.35">
      <c r="A579">
        <v>580</v>
      </c>
      <c r="B579" t="s">
        <v>1018</v>
      </c>
      <c r="C579" t="s">
        <v>367</v>
      </c>
      <c r="D579">
        <v>6</v>
      </c>
      <c r="E579" t="s">
        <v>95</v>
      </c>
      <c r="F579" s="2">
        <v>45960</v>
      </c>
      <c r="G579" s="20">
        <v>141.85454545454544</v>
      </c>
      <c r="H579" s="20">
        <v>156.04</v>
      </c>
      <c r="I579" s="20">
        <v>953.55</v>
      </c>
      <c r="J579" s="20">
        <f t="shared" si="18"/>
        <v>14.185454545454547</v>
      </c>
      <c r="K579" s="20">
        <f t="shared" si="19"/>
        <v>85.112727272727284</v>
      </c>
      <c r="M579"/>
    </row>
    <row r="580" spans="1:13" x14ac:dyDescent="0.35">
      <c r="A580">
        <v>581</v>
      </c>
      <c r="B580" t="s">
        <v>1019</v>
      </c>
      <c r="C580" t="s">
        <v>361</v>
      </c>
      <c r="D580">
        <v>1</v>
      </c>
      <c r="E580" t="s">
        <v>95</v>
      </c>
      <c r="F580" s="2">
        <v>45960</v>
      </c>
      <c r="G580" s="20">
        <v>422.08181818181816</v>
      </c>
      <c r="H580" s="20">
        <v>464.29</v>
      </c>
      <c r="I580" s="20">
        <v>472.88</v>
      </c>
      <c r="J580" s="20">
        <f t="shared" si="18"/>
        <v>42.208181818181856</v>
      </c>
      <c r="K580" s="20">
        <f t="shared" si="19"/>
        <v>42.208181818181856</v>
      </c>
      <c r="M580"/>
    </row>
    <row r="581" spans="1:13" x14ac:dyDescent="0.35">
      <c r="A581">
        <v>582</v>
      </c>
      <c r="B581" t="s">
        <v>1020</v>
      </c>
      <c r="C581" t="s">
        <v>365</v>
      </c>
      <c r="D581">
        <v>1</v>
      </c>
      <c r="E581" t="s">
        <v>95</v>
      </c>
      <c r="F581" s="2">
        <v>45960</v>
      </c>
      <c r="G581" s="20">
        <v>252.14545454545453</v>
      </c>
      <c r="H581" s="20">
        <v>277.36</v>
      </c>
      <c r="I581" s="20">
        <v>282.5</v>
      </c>
      <c r="J581" s="20">
        <f t="shared" si="18"/>
        <v>25.214545454545487</v>
      </c>
      <c r="K581" s="20">
        <f t="shared" si="19"/>
        <v>25.214545454545487</v>
      </c>
      <c r="M581"/>
    </row>
    <row r="582" spans="1:13" x14ac:dyDescent="0.35">
      <c r="A582">
        <v>583</v>
      </c>
      <c r="B582" t="s">
        <v>1021</v>
      </c>
      <c r="C582" t="s">
        <v>364</v>
      </c>
      <c r="D582">
        <v>2</v>
      </c>
      <c r="E582" t="s">
        <v>95</v>
      </c>
      <c r="F582" s="2">
        <v>45960</v>
      </c>
      <c r="G582" s="20">
        <v>208.44545454545451</v>
      </c>
      <c r="H582" s="20">
        <v>229.29</v>
      </c>
      <c r="I582" s="20">
        <v>467.06</v>
      </c>
      <c r="J582" s="20">
        <f t="shared" si="18"/>
        <v>20.844545454545482</v>
      </c>
      <c r="K582" s="20">
        <f t="shared" si="19"/>
        <v>41.689090909090964</v>
      </c>
      <c r="M582"/>
    </row>
    <row r="583" spans="1:13" x14ac:dyDescent="0.35">
      <c r="A583">
        <v>584</v>
      </c>
      <c r="B583" t="s">
        <v>1022</v>
      </c>
      <c r="C583" t="s">
        <v>367</v>
      </c>
      <c r="D583">
        <v>1</v>
      </c>
      <c r="E583" t="s">
        <v>95</v>
      </c>
      <c r="F583" s="2">
        <v>45960</v>
      </c>
      <c r="G583" s="20">
        <v>232.40909090909091</v>
      </c>
      <c r="H583" s="20">
        <v>255.65</v>
      </c>
      <c r="I583" s="20">
        <v>260.38</v>
      </c>
      <c r="J583" s="20">
        <f t="shared" si="18"/>
        <v>23.240909090909099</v>
      </c>
      <c r="K583" s="20">
        <f t="shared" si="19"/>
        <v>23.240909090909099</v>
      </c>
      <c r="M583"/>
    </row>
    <row r="584" spans="1:13" x14ac:dyDescent="0.35">
      <c r="M584"/>
    </row>
  </sheetData>
  <autoFilter ref="A1:N583" xr:uid="{C42309C2-B67B-4E0E-85EE-4D12712138BC}">
    <sortState xmlns:xlrd2="http://schemas.microsoft.com/office/spreadsheetml/2017/richdata2" ref="A2:N583">
      <sortCondition ref="A1:A58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C41-BFE5-491D-AC23-01BCE75D0360}">
  <dimension ref="A1:L46"/>
  <sheetViews>
    <sheetView zoomScale="49" zoomScaleNormal="85" workbookViewId="0">
      <selection activeCell="K24" sqref="K24"/>
    </sheetView>
  </sheetViews>
  <sheetFormatPr defaultRowHeight="14.5" x14ac:dyDescent="0.35"/>
  <cols>
    <col min="1" max="1" width="10.08984375" customWidth="1"/>
    <col min="2" max="2" width="20.1796875" customWidth="1"/>
    <col min="3" max="3" width="24.7265625" customWidth="1"/>
    <col min="4" max="4" width="15.90625" customWidth="1"/>
    <col min="5" max="5" width="16.1796875" style="2" customWidth="1"/>
    <col min="6" max="6" width="26.26953125" style="20" customWidth="1"/>
    <col min="7" max="7" width="20.08984375" style="20" customWidth="1"/>
    <col min="11" max="11" width="42.54296875" customWidth="1"/>
    <col min="12" max="12" width="14.81640625" customWidth="1"/>
  </cols>
  <sheetData>
    <row r="1" spans="1:12" s="5" customFormat="1" x14ac:dyDescent="0.35">
      <c r="A1" s="5" t="s">
        <v>0</v>
      </c>
      <c r="B1" s="5" t="s">
        <v>1</v>
      </c>
      <c r="C1" s="5" t="s">
        <v>1065</v>
      </c>
      <c r="D1" s="5" t="s">
        <v>2</v>
      </c>
      <c r="E1" s="35" t="s">
        <v>1037</v>
      </c>
      <c r="F1" s="24" t="s">
        <v>1040</v>
      </c>
      <c r="G1" s="24" t="s">
        <v>1064</v>
      </c>
    </row>
    <row r="2" spans="1:12" x14ac:dyDescent="0.35">
      <c r="A2">
        <v>1</v>
      </c>
      <c r="B2" t="s">
        <v>1039</v>
      </c>
      <c r="C2" t="s">
        <v>1076</v>
      </c>
      <c r="D2">
        <v>15</v>
      </c>
      <c r="E2" s="2">
        <v>45901</v>
      </c>
      <c r="F2" s="20">
        <v>169</v>
      </c>
      <c r="G2" s="20">
        <f>F2*D2</f>
        <v>2535</v>
      </c>
    </row>
    <row r="3" spans="1:12" x14ac:dyDescent="0.35">
      <c r="A3">
        <v>2</v>
      </c>
      <c r="B3" t="s">
        <v>1041</v>
      </c>
      <c r="C3" t="s">
        <v>361</v>
      </c>
      <c r="D3">
        <v>5</v>
      </c>
      <c r="E3" s="2">
        <v>45962</v>
      </c>
      <c r="F3" s="20">
        <v>263</v>
      </c>
      <c r="G3" s="20">
        <f>F3*D3</f>
        <v>1315</v>
      </c>
    </row>
    <row r="4" spans="1:12" x14ac:dyDescent="0.35">
      <c r="A4">
        <v>3</v>
      </c>
      <c r="B4" t="s">
        <v>1042</v>
      </c>
      <c r="C4" t="s">
        <v>1099</v>
      </c>
      <c r="D4">
        <v>35</v>
      </c>
      <c r="E4" s="2">
        <v>45962</v>
      </c>
      <c r="F4" s="20">
        <v>299</v>
      </c>
      <c r="G4" s="20">
        <f>F4*D4</f>
        <v>10465</v>
      </c>
    </row>
    <row r="5" spans="1:12" x14ac:dyDescent="0.35">
      <c r="A5">
        <v>4</v>
      </c>
      <c r="B5" s="8" t="s">
        <v>1108</v>
      </c>
      <c r="C5" t="s">
        <v>1099</v>
      </c>
      <c r="D5">
        <v>25</v>
      </c>
      <c r="E5" s="2">
        <v>45992</v>
      </c>
      <c r="F5" s="20">
        <v>191.66</v>
      </c>
      <c r="G5" s="20">
        <f>F5*D5</f>
        <v>4791.5</v>
      </c>
    </row>
    <row r="6" spans="1:12" x14ac:dyDescent="0.35">
      <c r="A6">
        <v>5</v>
      </c>
      <c r="B6" s="8" t="s">
        <v>1100</v>
      </c>
      <c r="C6" t="s">
        <v>1099</v>
      </c>
      <c r="D6">
        <v>15</v>
      </c>
      <c r="E6" s="2">
        <v>45962</v>
      </c>
      <c r="F6" s="20">
        <v>70.56</v>
      </c>
      <c r="G6" s="20">
        <f>F6*D6</f>
        <v>1058.4000000000001</v>
      </c>
    </row>
    <row r="7" spans="1:12" x14ac:dyDescent="0.35">
      <c r="A7">
        <v>6</v>
      </c>
      <c r="B7" t="s">
        <v>1043</v>
      </c>
      <c r="C7" t="s">
        <v>1076</v>
      </c>
      <c r="D7">
        <v>10</v>
      </c>
      <c r="E7" s="2">
        <v>45839</v>
      </c>
      <c r="F7" s="20">
        <v>184.47</v>
      </c>
      <c r="G7" s="20">
        <f>F7*D7</f>
        <v>1844.7</v>
      </c>
    </row>
    <row r="8" spans="1:12" x14ac:dyDescent="0.35">
      <c r="A8">
        <v>7</v>
      </c>
      <c r="B8" s="8" t="s">
        <v>1101</v>
      </c>
      <c r="C8" t="s">
        <v>1099</v>
      </c>
      <c r="D8">
        <v>15</v>
      </c>
      <c r="E8" s="2">
        <v>45992</v>
      </c>
      <c r="F8" s="20">
        <v>143.37</v>
      </c>
      <c r="G8" s="20">
        <f>F8*D8</f>
        <v>2150.5500000000002</v>
      </c>
    </row>
    <row r="9" spans="1:12" x14ac:dyDescent="0.35">
      <c r="A9">
        <v>8</v>
      </c>
      <c r="B9" t="s">
        <v>1044</v>
      </c>
      <c r="C9" t="s">
        <v>1075</v>
      </c>
      <c r="D9">
        <v>10</v>
      </c>
      <c r="E9" s="2">
        <v>45901</v>
      </c>
      <c r="F9" s="20">
        <v>64.28</v>
      </c>
      <c r="G9" s="20">
        <f>F9*D9</f>
        <v>642.79999999999995</v>
      </c>
      <c r="K9" t="s">
        <v>1078</v>
      </c>
      <c r="L9">
        <f>SUM(G2:G46)</f>
        <v>97457.37999999999</v>
      </c>
    </row>
    <row r="10" spans="1:12" x14ac:dyDescent="0.35">
      <c r="A10">
        <v>9</v>
      </c>
      <c r="B10" s="8" t="s">
        <v>1102</v>
      </c>
      <c r="C10" t="s">
        <v>1099</v>
      </c>
      <c r="D10">
        <v>8</v>
      </c>
      <c r="E10" s="2">
        <v>46023</v>
      </c>
      <c r="F10" s="20">
        <v>249</v>
      </c>
      <c r="G10" s="20">
        <f>F10*D10</f>
        <v>1992</v>
      </c>
      <c r="K10" t="s">
        <v>1079</v>
      </c>
      <c r="L10">
        <v>424224.85999999993</v>
      </c>
    </row>
    <row r="11" spans="1:12" x14ac:dyDescent="0.35">
      <c r="A11">
        <v>10</v>
      </c>
      <c r="B11" t="s">
        <v>1045</v>
      </c>
      <c r="C11" t="s">
        <v>1099</v>
      </c>
      <c r="D11">
        <v>9</v>
      </c>
      <c r="E11" s="2">
        <v>45962</v>
      </c>
      <c r="F11" s="20">
        <v>54</v>
      </c>
      <c r="G11" s="20">
        <f>F11*D11</f>
        <v>486</v>
      </c>
      <c r="K11" t="s">
        <v>1095</v>
      </c>
      <c r="L11" s="14">
        <f>L9/L10</f>
        <v>0.22973047831284571</v>
      </c>
    </row>
    <row r="12" spans="1:12" x14ac:dyDescent="0.35">
      <c r="A12">
        <v>11</v>
      </c>
      <c r="B12" s="8" t="s">
        <v>1103</v>
      </c>
      <c r="C12" t="s">
        <v>1099</v>
      </c>
      <c r="D12">
        <v>20</v>
      </c>
      <c r="E12" s="2">
        <v>45992</v>
      </c>
      <c r="F12" s="20">
        <v>32.04</v>
      </c>
      <c r="G12" s="20">
        <f>F12*D12</f>
        <v>640.79999999999995</v>
      </c>
    </row>
    <row r="13" spans="1:12" x14ac:dyDescent="0.35">
      <c r="A13">
        <v>12</v>
      </c>
      <c r="B13" s="8" t="s">
        <v>1109</v>
      </c>
      <c r="C13" t="s">
        <v>1099</v>
      </c>
      <c r="D13">
        <v>9</v>
      </c>
      <c r="E13" s="2">
        <v>45809</v>
      </c>
      <c r="F13" s="20">
        <v>64.959999999999994</v>
      </c>
      <c r="G13" s="20">
        <f>F13*D13</f>
        <v>584.64</v>
      </c>
    </row>
    <row r="14" spans="1:12" x14ac:dyDescent="0.35">
      <c r="A14">
        <v>13</v>
      </c>
      <c r="B14" t="s">
        <v>1046</v>
      </c>
      <c r="C14" t="s">
        <v>366</v>
      </c>
      <c r="D14">
        <v>15</v>
      </c>
      <c r="E14" s="2">
        <v>45901</v>
      </c>
      <c r="F14" s="20">
        <v>133.75</v>
      </c>
      <c r="G14" s="20">
        <f>F14*D14</f>
        <v>2006.25</v>
      </c>
    </row>
    <row r="15" spans="1:12" x14ac:dyDescent="0.35">
      <c r="A15">
        <v>14</v>
      </c>
      <c r="B15" t="s">
        <v>1047</v>
      </c>
      <c r="C15" t="s">
        <v>361</v>
      </c>
      <c r="D15">
        <v>5</v>
      </c>
      <c r="E15" s="2">
        <v>45962</v>
      </c>
      <c r="F15" s="20">
        <v>726</v>
      </c>
      <c r="G15" s="20">
        <f>F15*D15</f>
        <v>3630</v>
      </c>
    </row>
    <row r="16" spans="1:12" x14ac:dyDescent="0.35">
      <c r="A16">
        <v>15</v>
      </c>
      <c r="B16" t="s">
        <v>1048</v>
      </c>
      <c r="C16" t="s">
        <v>361</v>
      </c>
      <c r="D16">
        <v>5</v>
      </c>
      <c r="E16" s="2">
        <v>45962</v>
      </c>
      <c r="F16" s="20">
        <v>305</v>
      </c>
      <c r="G16" s="20">
        <f>F16*D16</f>
        <v>1525</v>
      </c>
    </row>
    <row r="17" spans="1:7" x14ac:dyDescent="0.35">
      <c r="A17">
        <v>16</v>
      </c>
      <c r="B17" t="s">
        <v>1049</v>
      </c>
      <c r="C17" t="s">
        <v>359</v>
      </c>
      <c r="D17">
        <v>8</v>
      </c>
      <c r="E17" s="2">
        <v>42217</v>
      </c>
      <c r="F17" s="20">
        <v>850</v>
      </c>
      <c r="G17" s="20">
        <f>F17*D17</f>
        <v>6800</v>
      </c>
    </row>
    <row r="18" spans="1:7" x14ac:dyDescent="0.35">
      <c r="A18">
        <v>17</v>
      </c>
      <c r="B18" t="s">
        <v>1050</v>
      </c>
      <c r="C18" t="s">
        <v>365</v>
      </c>
      <c r="D18">
        <v>10</v>
      </c>
      <c r="E18" s="2">
        <v>45992</v>
      </c>
      <c r="F18" s="20">
        <v>247.5</v>
      </c>
      <c r="G18" s="20">
        <f>F18*D18</f>
        <v>2475</v>
      </c>
    </row>
    <row r="19" spans="1:7" x14ac:dyDescent="0.35">
      <c r="A19">
        <v>18</v>
      </c>
      <c r="B19" s="8" t="s">
        <v>1104</v>
      </c>
      <c r="C19" t="s">
        <v>1099</v>
      </c>
      <c r="D19">
        <v>20</v>
      </c>
      <c r="E19" s="2">
        <v>46023</v>
      </c>
      <c r="F19" s="20">
        <v>108.05</v>
      </c>
      <c r="G19" s="20">
        <f>F19*D19</f>
        <v>2161</v>
      </c>
    </row>
    <row r="20" spans="1:7" x14ac:dyDescent="0.35">
      <c r="A20">
        <v>19</v>
      </c>
      <c r="B20" t="s">
        <v>1051</v>
      </c>
      <c r="C20" t="s">
        <v>365</v>
      </c>
      <c r="D20">
        <v>9</v>
      </c>
      <c r="E20" s="2">
        <v>45992</v>
      </c>
      <c r="F20" s="20">
        <v>221.35</v>
      </c>
      <c r="G20" s="20">
        <f>F20*D20</f>
        <v>1992.1499999999999</v>
      </c>
    </row>
    <row r="21" spans="1:7" x14ac:dyDescent="0.35">
      <c r="A21">
        <v>20</v>
      </c>
      <c r="B21" s="8" t="s">
        <v>1105</v>
      </c>
      <c r="C21" t="s">
        <v>1099</v>
      </c>
      <c r="D21">
        <v>14</v>
      </c>
      <c r="E21" s="2">
        <v>45962</v>
      </c>
      <c r="F21" s="20">
        <v>443.76</v>
      </c>
      <c r="G21" s="20">
        <f>F21*D21</f>
        <v>6212.6399999999994</v>
      </c>
    </row>
    <row r="22" spans="1:7" x14ac:dyDescent="0.35">
      <c r="A22">
        <v>21</v>
      </c>
      <c r="B22" t="s">
        <v>1052</v>
      </c>
      <c r="C22" t="s">
        <v>365</v>
      </c>
      <c r="D22">
        <v>10</v>
      </c>
      <c r="E22" s="2">
        <v>45839</v>
      </c>
      <c r="F22" s="20">
        <v>52</v>
      </c>
      <c r="G22" s="20">
        <f>F22*D22</f>
        <v>520</v>
      </c>
    </row>
    <row r="23" spans="1:7" x14ac:dyDescent="0.35">
      <c r="A23">
        <v>22</v>
      </c>
      <c r="B23" t="s">
        <v>1053</v>
      </c>
      <c r="C23" t="s">
        <v>368</v>
      </c>
      <c r="D23">
        <v>7</v>
      </c>
      <c r="E23" s="2">
        <v>45962</v>
      </c>
      <c r="F23" s="20">
        <v>60</v>
      </c>
      <c r="G23" s="20">
        <f>F23*D23</f>
        <v>420</v>
      </c>
    </row>
    <row r="24" spans="1:7" x14ac:dyDescent="0.35">
      <c r="A24">
        <v>23</v>
      </c>
      <c r="B24" s="8" t="s">
        <v>1106</v>
      </c>
      <c r="C24" t="s">
        <v>1099</v>
      </c>
      <c r="D24">
        <v>10</v>
      </c>
      <c r="E24" s="2">
        <v>45962</v>
      </c>
      <c r="F24" s="20">
        <v>199</v>
      </c>
      <c r="G24" s="20">
        <f>F24*D24</f>
        <v>1990</v>
      </c>
    </row>
    <row r="25" spans="1:7" x14ac:dyDescent="0.35">
      <c r="A25">
        <v>24</v>
      </c>
      <c r="B25" t="s">
        <v>1054</v>
      </c>
      <c r="C25" t="s">
        <v>361</v>
      </c>
      <c r="D25">
        <v>6</v>
      </c>
      <c r="E25" s="2">
        <v>45962</v>
      </c>
      <c r="F25" s="20">
        <v>350</v>
      </c>
      <c r="G25" s="20">
        <f>F25*D25</f>
        <v>2100</v>
      </c>
    </row>
    <row r="26" spans="1:7" x14ac:dyDescent="0.35">
      <c r="A26">
        <v>25</v>
      </c>
      <c r="B26" t="s">
        <v>1055</v>
      </c>
      <c r="C26" t="s">
        <v>361</v>
      </c>
      <c r="D26">
        <v>7</v>
      </c>
      <c r="E26" s="2">
        <v>45962</v>
      </c>
      <c r="F26" s="20">
        <v>33.340000000000003</v>
      </c>
      <c r="G26" s="20">
        <f>F26*D26</f>
        <v>233.38000000000002</v>
      </c>
    </row>
    <row r="27" spans="1:7" x14ac:dyDescent="0.35">
      <c r="A27">
        <v>26</v>
      </c>
      <c r="B27" s="8" t="s">
        <v>1107</v>
      </c>
      <c r="C27" t="s">
        <v>1099</v>
      </c>
      <c r="D27">
        <v>10</v>
      </c>
      <c r="E27" s="2">
        <v>45962</v>
      </c>
      <c r="F27" s="20">
        <v>13.55</v>
      </c>
      <c r="G27" s="20">
        <f>F27*D27</f>
        <v>135.5</v>
      </c>
    </row>
    <row r="28" spans="1:7" x14ac:dyDescent="0.35">
      <c r="A28">
        <v>27</v>
      </c>
      <c r="B28" t="s">
        <v>1056</v>
      </c>
      <c r="C28" t="s">
        <v>1099</v>
      </c>
      <c r="D28">
        <v>25</v>
      </c>
      <c r="E28" s="2">
        <v>45962</v>
      </c>
      <c r="F28" s="20">
        <v>274.75</v>
      </c>
      <c r="G28" s="20">
        <f>F28*D28</f>
        <v>6868.75</v>
      </c>
    </row>
    <row r="29" spans="1:7" x14ac:dyDescent="0.35">
      <c r="A29">
        <v>28</v>
      </c>
      <c r="B29" s="8" t="s">
        <v>1110</v>
      </c>
      <c r="C29" t="s">
        <v>1099</v>
      </c>
      <c r="D29">
        <v>15</v>
      </c>
      <c r="E29" s="2">
        <v>46023</v>
      </c>
      <c r="F29" s="20">
        <v>126.5</v>
      </c>
      <c r="G29" s="20">
        <f>F29*D29</f>
        <v>1897.5</v>
      </c>
    </row>
    <row r="30" spans="1:7" x14ac:dyDescent="0.35">
      <c r="A30">
        <v>29</v>
      </c>
      <c r="B30" t="s">
        <v>1057</v>
      </c>
      <c r="C30" t="s">
        <v>365</v>
      </c>
      <c r="D30">
        <v>8</v>
      </c>
      <c r="E30" s="2">
        <v>45992</v>
      </c>
      <c r="F30" s="20">
        <v>225</v>
      </c>
      <c r="G30" s="20">
        <f>F30*D30</f>
        <v>1800</v>
      </c>
    </row>
    <row r="31" spans="1:7" x14ac:dyDescent="0.35">
      <c r="A31">
        <v>30</v>
      </c>
      <c r="B31" t="s">
        <v>1058</v>
      </c>
      <c r="C31" t="s">
        <v>367</v>
      </c>
      <c r="D31">
        <v>15</v>
      </c>
      <c r="E31" s="2">
        <v>45992</v>
      </c>
      <c r="F31" s="20">
        <v>225</v>
      </c>
      <c r="G31" s="20">
        <f>F31*D31</f>
        <v>3375</v>
      </c>
    </row>
    <row r="32" spans="1:7" x14ac:dyDescent="0.35">
      <c r="A32">
        <v>31</v>
      </c>
      <c r="B32" t="s">
        <v>1059</v>
      </c>
      <c r="C32" t="s">
        <v>365</v>
      </c>
      <c r="D32">
        <v>9</v>
      </c>
      <c r="E32" s="2">
        <v>45992</v>
      </c>
      <c r="F32" s="20">
        <v>175.56</v>
      </c>
      <c r="G32" s="20">
        <f>F32*D32</f>
        <v>1580.04</v>
      </c>
    </row>
    <row r="33" spans="1:7" x14ac:dyDescent="0.35">
      <c r="A33">
        <v>32</v>
      </c>
      <c r="B33" t="s">
        <v>1060</v>
      </c>
      <c r="C33" t="s">
        <v>365</v>
      </c>
      <c r="D33">
        <v>9</v>
      </c>
      <c r="E33" s="2">
        <v>45962</v>
      </c>
      <c r="F33" s="20">
        <v>56.22</v>
      </c>
      <c r="G33" s="20">
        <f>F33*D33</f>
        <v>505.98</v>
      </c>
    </row>
    <row r="34" spans="1:7" x14ac:dyDescent="0.35">
      <c r="A34">
        <v>33</v>
      </c>
      <c r="B34" t="s">
        <v>1061</v>
      </c>
      <c r="C34" t="s">
        <v>364</v>
      </c>
      <c r="D34">
        <v>12</v>
      </c>
      <c r="E34" s="2">
        <v>45839</v>
      </c>
      <c r="F34" s="20">
        <v>142</v>
      </c>
      <c r="G34" s="20">
        <f>F34*D34</f>
        <v>1704</v>
      </c>
    </row>
    <row r="35" spans="1:7" x14ac:dyDescent="0.35">
      <c r="A35">
        <v>34</v>
      </c>
      <c r="B35" t="s">
        <v>1062</v>
      </c>
      <c r="C35" t="s">
        <v>361</v>
      </c>
      <c r="D35">
        <v>7</v>
      </c>
      <c r="E35" s="2">
        <v>45992</v>
      </c>
      <c r="F35" s="20">
        <v>247</v>
      </c>
      <c r="G35" s="20">
        <f>F35*D35</f>
        <v>1729</v>
      </c>
    </row>
    <row r="36" spans="1:7" x14ac:dyDescent="0.35">
      <c r="A36">
        <v>35</v>
      </c>
      <c r="B36" t="s">
        <v>1063</v>
      </c>
      <c r="C36" t="s">
        <v>364</v>
      </c>
      <c r="D36">
        <v>15</v>
      </c>
      <c r="E36" s="2">
        <v>45931</v>
      </c>
      <c r="F36" s="20">
        <v>269</v>
      </c>
      <c r="G36" s="20">
        <f>F36*D36</f>
        <v>4035</v>
      </c>
    </row>
    <row r="37" spans="1:7" x14ac:dyDescent="0.35">
      <c r="A37">
        <v>36</v>
      </c>
      <c r="B37" t="s">
        <v>1080</v>
      </c>
      <c r="C37" t="s">
        <v>368</v>
      </c>
      <c r="D37">
        <v>12</v>
      </c>
      <c r="E37" s="2">
        <v>45931</v>
      </c>
      <c r="F37" s="20">
        <v>365</v>
      </c>
      <c r="G37" s="20">
        <f>F37*D37</f>
        <v>4380</v>
      </c>
    </row>
    <row r="38" spans="1:7" x14ac:dyDescent="0.35">
      <c r="A38">
        <v>37</v>
      </c>
      <c r="B38" t="s">
        <v>1081</v>
      </c>
      <c r="C38" t="s">
        <v>361</v>
      </c>
      <c r="D38">
        <v>5</v>
      </c>
      <c r="E38" s="2">
        <v>45962</v>
      </c>
      <c r="F38" s="20">
        <v>174.5</v>
      </c>
      <c r="G38" s="20">
        <f>F38*D38</f>
        <v>872.5</v>
      </c>
    </row>
    <row r="39" spans="1:7" x14ac:dyDescent="0.35">
      <c r="A39">
        <v>38</v>
      </c>
      <c r="B39" t="s">
        <v>1082</v>
      </c>
      <c r="C39" t="s">
        <v>364</v>
      </c>
      <c r="D39">
        <v>7</v>
      </c>
      <c r="E39" s="2">
        <v>45992</v>
      </c>
      <c r="F39" s="20">
        <v>180</v>
      </c>
      <c r="G39" s="20">
        <f>F39*D39</f>
        <v>1260</v>
      </c>
    </row>
    <row r="40" spans="1:7" x14ac:dyDescent="0.35">
      <c r="A40">
        <v>39</v>
      </c>
      <c r="B40" t="s">
        <v>1083</v>
      </c>
      <c r="C40" t="s">
        <v>367</v>
      </c>
      <c r="D40">
        <v>15</v>
      </c>
      <c r="E40" s="2">
        <v>46023</v>
      </c>
      <c r="F40" s="20">
        <v>63.5</v>
      </c>
      <c r="G40" s="20">
        <f>F40*D40</f>
        <v>952.5</v>
      </c>
    </row>
    <row r="41" spans="1:7" x14ac:dyDescent="0.35">
      <c r="A41">
        <v>40</v>
      </c>
      <c r="B41" t="s">
        <v>1084</v>
      </c>
      <c r="C41" t="s">
        <v>365</v>
      </c>
      <c r="D41">
        <v>10</v>
      </c>
      <c r="E41" s="2">
        <v>45962</v>
      </c>
      <c r="F41" s="20">
        <v>219</v>
      </c>
      <c r="G41" s="20">
        <f>F41*D41</f>
        <v>2190</v>
      </c>
    </row>
    <row r="42" spans="1:7" x14ac:dyDescent="0.35">
      <c r="A42">
        <v>41</v>
      </c>
      <c r="B42" t="s">
        <v>1085</v>
      </c>
      <c r="C42" t="s">
        <v>367</v>
      </c>
      <c r="D42">
        <v>20</v>
      </c>
      <c r="E42" s="2">
        <v>45839</v>
      </c>
      <c r="F42" s="20">
        <v>65</v>
      </c>
      <c r="G42" s="20">
        <f>F42*D42</f>
        <v>1300</v>
      </c>
    </row>
    <row r="43" spans="1:7" x14ac:dyDescent="0.35">
      <c r="A43">
        <v>42</v>
      </c>
      <c r="B43" t="s">
        <v>1086</v>
      </c>
      <c r="C43" t="s">
        <v>1075</v>
      </c>
      <c r="D43">
        <v>12</v>
      </c>
      <c r="E43" s="2">
        <v>45931</v>
      </c>
      <c r="F43" s="20">
        <v>45.5</v>
      </c>
      <c r="G43" s="20">
        <f>F43*D43</f>
        <v>546</v>
      </c>
    </row>
    <row r="44" spans="1:7" x14ac:dyDescent="0.35">
      <c r="A44">
        <v>43</v>
      </c>
      <c r="B44" t="s">
        <v>1087</v>
      </c>
      <c r="C44" t="s">
        <v>367</v>
      </c>
      <c r="D44">
        <v>10</v>
      </c>
      <c r="E44" s="2">
        <v>45962</v>
      </c>
      <c r="F44" s="20">
        <v>76.88</v>
      </c>
      <c r="G44" s="20">
        <f>F44*D44</f>
        <v>768.8</v>
      </c>
    </row>
    <row r="45" spans="1:7" x14ac:dyDescent="0.35">
      <c r="A45">
        <v>44</v>
      </c>
      <c r="B45" t="s">
        <v>1088</v>
      </c>
      <c r="C45" t="s">
        <v>364</v>
      </c>
      <c r="D45">
        <v>15</v>
      </c>
      <c r="E45" s="2">
        <v>45992</v>
      </c>
      <c r="F45" s="20">
        <v>19</v>
      </c>
      <c r="G45" s="20">
        <f>F45*D45</f>
        <v>285</v>
      </c>
    </row>
    <row r="46" spans="1:7" x14ac:dyDescent="0.35">
      <c r="A46">
        <v>45</v>
      </c>
      <c r="B46" t="s">
        <v>1089</v>
      </c>
      <c r="C46" t="s">
        <v>367</v>
      </c>
      <c r="D46">
        <v>20</v>
      </c>
      <c r="E46" s="2">
        <v>45901</v>
      </c>
      <c r="F46" s="20">
        <v>35</v>
      </c>
      <c r="G46" s="20">
        <f>F46*D46</f>
        <v>700</v>
      </c>
    </row>
  </sheetData>
  <autoFilter ref="A1:G46" xr:uid="{C04F7C41-BFE5-491D-AC23-01BCE75D0360}">
    <sortState xmlns:xlrd2="http://schemas.microsoft.com/office/spreadsheetml/2017/richdata2" ref="A2:G46">
      <sortCondition ref="A1:A4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86D03-C643-493C-BCDD-8A59463ED3D1}">
  <dimension ref="B2:R62"/>
  <sheetViews>
    <sheetView zoomScale="32" zoomScaleNormal="74" workbookViewId="0">
      <selection activeCell="N20" sqref="N20"/>
    </sheetView>
  </sheetViews>
  <sheetFormatPr defaultRowHeight="14.5" x14ac:dyDescent="0.35"/>
  <cols>
    <col min="2" max="2" width="20.1796875" bestFit="1" customWidth="1"/>
    <col min="3" max="3" width="21.26953125" bestFit="1" customWidth="1"/>
    <col min="4" max="4" width="19.81640625" style="20" bestFit="1" customWidth="1"/>
    <col min="7" max="7" width="24.54296875" customWidth="1"/>
    <col min="8" max="8" width="25.1796875" customWidth="1"/>
    <col min="9" max="9" width="18.36328125" customWidth="1"/>
    <col min="10" max="10" width="24.36328125" customWidth="1"/>
    <col min="11" max="11" width="27.90625" customWidth="1"/>
    <col min="12" max="12" width="15.453125" customWidth="1"/>
    <col min="14" max="14" width="31.453125" customWidth="1"/>
    <col min="15" max="15" width="25.54296875" customWidth="1"/>
    <col min="16" max="16" width="30.1796875" customWidth="1"/>
    <col min="17" max="17" width="29.81640625" customWidth="1"/>
    <col min="18" max="18" width="18.26953125" customWidth="1"/>
    <col min="20" max="20" width="25.08984375" customWidth="1"/>
  </cols>
  <sheetData>
    <row r="2" spans="2:17" x14ac:dyDescent="0.35">
      <c r="G2" t="s">
        <v>1127</v>
      </c>
    </row>
    <row r="3" spans="2:17" x14ac:dyDescent="0.35">
      <c r="B3" s="10" t="s">
        <v>1067</v>
      </c>
      <c r="C3" t="s">
        <v>1069</v>
      </c>
      <c r="D3" t="s">
        <v>1074</v>
      </c>
      <c r="G3" s="25" t="s">
        <v>1067</v>
      </c>
      <c r="H3" s="25" t="s">
        <v>1069</v>
      </c>
      <c r="I3" t="s">
        <v>1116</v>
      </c>
      <c r="J3" t="s">
        <v>1117</v>
      </c>
      <c r="K3" t="s">
        <v>1118</v>
      </c>
      <c r="L3" t="s">
        <v>1114</v>
      </c>
    </row>
    <row r="4" spans="2:17" x14ac:dyDescent="0.35">
      <c r="B4" s="12" t="s">
        <v>361</v>
      </c>
      <c r="C4" s="26">
        <v>130075.74999999999</v>
      </c>
      <c r="D4">
        <v>341</v>
      </c>
      <c r="G4" s="12" t="s">
        <v>361</v>
      </c>
      <c r="H4" s="26">
        <v>130075.75</v>
      </c>
      <c r="I4" s="28">
        <f t="shared" ref="I4:I17" si="0">H4/H$19</f>
        <v>0.30661981949855555</v>
      </c>
      <c r="J4" s="26">
        <f>H4</f>
        <v>130075.75</v>
      </c>
      <c r="K4" s="28">
        <f>I4</f>
        <v>0.30661981949855555</v>
      </c>
      <c r="L4" t="s">
        <v>1119</v>
      </c>
      <c r="O4" t="s">
        <v>1143</v>
      </c>
      <c r="P4" t="s">
        <v>1144</v>
      </c>
      <c r="Q4" t="s">
        <v>1145</v>
      </c>
    </row>
    <row r="5" spans="2:17" x14ac:dyDescent="0.35">
      <c r="B5" s="12" t="s">
        <v>1076</v>
      </c>
      <c r="C5" s="26">
        <v>87656.090000000026</v>
      </c>
      <c r="D5">
        <v>621</v>
      </c>
      <c r="G5" s="12" t="s">
        <v>1076</v>
      </c>
      <c r="H5" s="26">
        <v>87656.09</v>
      </c>
      <c r="I5" s="28">
        <f t="shared" si="0"/>
        <v>0.20662648106006798</v>
      </c>
      <c r="J5" s="26">
        <f>J4+H5</f>
        <v>217731.84</v>
      </c>
      <c r="K5" s="28">
        <f>(J5/J$17)</f>
        <v>0.51324630055862352</v>
      </c>
      <c r="L5" t="s">
        <v>1119</v>
      </c>
      <c r="N5" t="s">
        <v>1140</v>
      </c>
      <c r="O5">
        <f>1+1+1+1</f>
        <v>4</v>
      </c>
      <c r="P5">
        <f>1</f>
        <v>1</v>
      </c>
      <c r="Q5">
        <v>0</v>
      </c>
    </row>
    <row r="6" spans="2:17" x14ac:dyDescent="0.35">
      <c r="B6" s="12" t="s">
        <v>1077</v>
      </c>
      <c r="C6" s="26">
        <v>68741.590000000011</v>
      </c>
      <c r="D6">
        <v>184</v>
      </c>
      <c r="G6" s="12" t="s">
        <v>1077</v>
      </c>
      <c r="H6" s="26">
        <v>68741.590000000011</v>
      </c>
      <c r="I6" s="28">
        <f t="shared" si="0"/>
        <v>0.16204045656353097</v>
      </c>
      <c r="J6" s="26">
        <f t="shared" ref="J6:J17" si="1">J5+H6</f>
        <v>286473.43</v>
      </c>
      <c r="K6" s="28">
        <f t="shared" ref="K6:K17" si="2">(J6/J$17)</f>
        <v>0.67528675712215447</v>
      </c>
      <c r="L6" t="s">
        <v>1119</v>
      </c>
      <c r="N6" t="s">
        <v>1141</v>
      </c>
      <c r="O6">
        <v>1</v>
      </c>
      <c r="P6">
        <v>2</v>
      </c>
      <c r="Q6">
        <v>1</v>
      </c>
    </row>
    <row r="7" spans="2:17" x14ac:dyDescent="0.35">
      <c r="B7" s="12" t="s">
        <v>368</v>
      </c>
      <c r="C7" s="26">
        <v>27297.650000000009</v>
      </c>
      <c r="D7">
        <v>255</v>
      </c>
      <c r="G7" s="12" t="s">
        <v>368</v>
      </c>
      <c r="H7" s="26">
        <v>27297.650000000009</v>
      </c>
      <c r="I7" s="28">
        <f t="shared" si="0"/>
        <v>6.4347124777175968E-2</v>
      </c>
      <c r="J7" s="26">
        <f t="shared" si="1"/>
        <v>313771.08</v>
      </c>
      <c r="K7" s="28">
        <f t="shared" si="2"/>
        <v>0.73963388189933055</v>
      </c>
      <c r="L7" t="s">
        <v>1119</v>
      </c>
      <c r="N7" t="s">
        <v>1142</v>
      </c>
      <c r="O7">
        <v>0</v>
      </c>
      <c r="P7">
        <f>1</f>
        <v>1</v>
      </c>
      <c r="Q7">
        <v>4</v>
      </c>
    </row>
    <row r="8" spans="2:17" x14ac:dyDescent="0.35">
      <c r="B8" s="12" t="s">
        <v>365</v>
      </c>
      <c r="C8" s="26">
        <v>25688.449999999997</v>
      </c>
      <c r="D8">
        <v>265</v>
      </c>
      <c r="G8" s="12" t="s">
        <v>365</v>
      </c>
      <c r="H8" s="26">
        <v>25688.45</v>
      </c>
      <c r="I8" s="28">
        <f t="shared" si="0"/>
        <v>6.0553853444609534E-2</v>
      </c>
      <c r="J8" s="26">
        <f t="shared" si="1"/>
        <v>339459.53</v>
      </c>
      <c r="K8" s="28">
        <f t="shared" si="2"/>
        <v>0.80018773534394005</v>
      </c>
      <c r="L8" t="s">
        <v>1119</v>
      </c>
    </row>
    <row r="9" spans="2:17" x14ac:dyDescent="0.35">
      <c r="B9" s="12" t="s">
        <v>367</v>
      </c>
      <c r="C9" s="26">
        <v>20768.130000000005</v>
      </c>
      <c r="D9">
        <v>190</v>
      </c>
      <c r="G9" s="12" t="s">
        <v>367</v>
      </c>
      <c r="H9" s="26">
        <v>20768.130000000005</v>
      </c>
      <c r="I9" s="28">
        <f t="shared" si="0"/>
        <v>4.8955476112361736E-2</v>
      </c>
      <c r="J9" s="26">
        <f t="shared" si="1"/>
        <v>360227.66000000003</v>
      </c>
      <c r="K9" s="28">
        <f t="shared" si="2"/>
        <v>0.84914321145630189</v>
      </c>
      <c r="L9" t="s">
        <v>1120</v>
      </c>
    </row>
    <row r="10" spans="2:17" x14ac:dyDescent="0.35">
      <c r="B10" s="12" t="s">
        <v>359</v>
      </c>
      <c r="C10" s="26">
        <v>13624.100000000002</v>
      </c>
      <c r="D10">
        <v>21</v>
      </c>
      <c r="G10" s="12" t="s">
        <v>359</v>
      </c>
      <c r="H10" s="26">
        <v>13624.100000000002</v>
      </c>
      <c r="I10" s="28">
        <f t="shared" si="0"/>
        <v>3.2115279618455179E-2</v>
      </c>
      <c r="J10" s="26">
        <f t="shared" si="1"/>
        <v>373851.76</v>
      </c>
      <c r="K10" s="28">
        <f t="shared" si="2"/>
        <v>0.88125849107475696</v>
      </c>
      <c r="L10" t="s">
        <v>1120</v>
      </c>
    </row>
    <row r="11" spans="2:17" x14ac:dyDescent="0.35">
      <c r="B11" s="12" t="s">
        <v>364</v>
      </c>
      <c r="C11" s="26">
        <v>12331.55</v>
      </c>
      <c r="D11">
        <v>91</v>
      </c>
      <c r="G11" s="12" t="s">
        <v>364</v>
      </c>
      <c r="H11" s="26">
        <v>12331.55</v>
      </c>
      <c r="I11" s="28">
        <f t="shared" si="0"/>
        <v>2.9068428474465165E-2</v>
      </c>
      <c r="J11" s="26">
        <f t="shared" si="1"/>
        <v>386183.31</v>
      </c>
      <c r="K11" s="28">
        <f t="shared" si="2"/>
        <v>0.91032691954922207</v>
      </c>
      <c r="L11" t="s">
        <v>1120</v>
      </c>
    </row>
    <row r="12" spans="2:17" x14ac:dyDescent="0.35">
      <c r="B12" s="12" t="s">
        <v>1075</v>
      </c>
      <c r="C12" s="26">
        <v>11714.390000000001</v>
      </c>
      <c r="D12">
        <v>119</v>
      </c>
      <c r="G12" s="12" t="s">
        <v>1075</v>
      </c>
      <c r="H12" s="26">
        <v>11714.390000000001</v>
      </c>
      <c r="I12" s="28">
        <f t="shared" si="0"/>
        <v>2.7613633958179631E-2</v>
      </c>
      <c r="J12" s="26">
        <f t="shared" si="1"/>
        <v>397897.7</v>
      </c>
      <c r="K12" s="28">
        <f t="shared" si="2"/>
        <v>0.9379405535074018</v>
      </c>
      <c r="L12" t="s">
        <v>1120</v>
      </c>
    </row>
    <row r="13" spans="2:17" x14ac:dyDescent="0.35">
      <c r="B13" s="12" t="s">
        <v>362</v>
      </c>
      <c r="C13" s="26">
        <v>11057.119999999999</v>
      </c>
      <c r="D13">
        <v>111</v>
      </c>
      <c r="G13" s="12" t="s">
        <v>362</v>
      </c>
      <c r="H13" s="26">
        <v>11057.119999999999</v>
      </c>
      <c r="I13" s="28">
        <f t="shared" si="0"/>
        <v>2.6064290527433961E-2</v>
      </c>
      <c r="J13" s="26">
        <f t="shared" si="1"/>
        <v>408954.82</v>
      </c>
      <c r="K13" s="28">
        <f t="shared" si="2"/>
        <v>0.96400484403483577</v>
      </c>
      <c r="L13" t="s">
        <v>1126</v>
      </c>
    </row>
    <row r="14" spans="2:17" x14ac:dyDescent="0.35">
      <c r="B14" s="12" t="s">
        <v>366</v>
      </c>
      <c r="C14" s="26">
        <v>7530.95</v>
      </c>
      <c r="D14">
        <v>53</v>
      </c>
      <c r="G14" s="12" t="s">
        <v>366</v>
      </c>
      <c r="H14" s="26">
        <v>7530.95</v>
      </c>
      <c r="I14" s="28">
        <f t="shared" si="0"/>
        <v>1.7752259968923084E-2</v>
      </c>
      <c r="J14" s="26">
        <f t="shared" si="1"/>
        <v>416485.77</v>
      </c>
      <c r="K14" s="28">
        <f t="shared" si="2"/>
        <v>0.98175710400375882</v>
      </c>
      <c r="L14" t="s">
        <v>1126</v>
      </c>
    </row>
    <row r="15" spans="2:17" x14ac:dyDescent="0.35">
      <c r="B15" s="12" t="s">
        <v>369</v>
      </c>
      <c r="C15" s="26">
        <v>3158.1600000000003</v>
      </c>
      <c r="D15">
        <v>23</v>
      </c>
      <c r="G15" s="12" t="s">
        <v>369</v>
      </c>
      <c r="H15" s="26">
        <v>3158.1600000000003</v>
      </c>
      <c r="I15" s="28">
        <f t="shared" si="0"/>
        <v>7.444542500408863E-3</v>
      </c>
      <c r="J15" s="26">
        <f t="shared" si="1"/>
        <v>419643.93</v>
      </c>
      <c r="K15" s="28">
        <f t="shared" si="2"/>
        <v>0.98920164650416764</v>
      </c>
      <c r="L15" t="s">
        <v>1126</v>
      </c>
    </row>
    <row r="16" spans="2:17" x14ac:dyDescent="0.35">
      <c r="B16" s="12" t="s">
        <v>363</v>
      </c>
      <c r="C16" s="26">
        <v>2858.1099999999997</v>
      </c>
      <c r="D16">
        <v>13</v>
      </c>
      <c r="G16" s="12" t="s">
        <v>363</v>
      </c>
      <c r="H16" s="26">
        <v>2858.1099999999997</v>
      </c>
      <c r="I16" s="28">
        <f t="shared" si="0"/>
        <v>6.7372525033068537E-3</v>
      </c>
      <c r="J16" s="26">
        <f t="shared" si="1"/>
        <v>422502.04</v>
      </c>
      <c r="K16" s="28">
        <f t="shared" si="2"/>
        <v>0.99593889900747445</v>
      </c>
      <c r="L16" t="s">
        <v>1126</v>
      </c>
    </row>
    <row r="17" spans="2:14" x14ac:dyDescent="0.35">
      <c r="B17" s="12" t="s">
        <v>360</v>
      </c>
      <c r="C17" s="26">
        <v>1722.8200000000002</v>
      </c>
      <c r="D17">
        <v>15</v>
      </c>
      <c r="G17" s="12" t="s">
        <v>360</v>
      </c>
      <c r="H17" s="26">
        <v>1722.8200000000002</v>
      </c>
      <c r="I17" s="28">
        <f t="shared" si="0"/>
        <v>4.0611009925255208E-3</v>
      </c>
      <c r="J17" s="26">
        <f t="shared" si="1"/>
        <v>424224.86</v>
      </c>
      <c r="K17" s="28">
        <f t="shared" si="2"/>
        <v>1</v>
      </c>
      <c r="L17" t="s">
        <v>1126</v>
      </c>
    </row>
    <row r="18" spans="2:14" x14ac:dyDescent="0.35">
      <c r="B18" s="12" t="s">
        <v>1070</v>
      </c>
      <c r="D18"/>
    </row>
    <row r="19" spans="2:14" x14ac:dyDescent="0.35">
      <c r="B19" s="12" t="s">
        <v>1068</v>
      </c>
      <c r="C19">
        <v>424224.86000000004</v>
      </c>
      <c r="D19">
        <v>2302</v>
      </c>
      <c r="G19" s="12" t="s">
        <v>1115</v>
      </c>
      <c r="H19" s="81">
        <v>424224.86000000004</v>
      </c>
    </row>
    <row r="20" spans="2:14" x14ac:dyDescent="0.35">
      <c r="D20"/>
      <c r="K20" t="s">
        <v>1123</v>
      </c>
      <c r="L20" t="s">
        <v>1124</v>
      </c>
    </row>
    <row r="21" spans="2:14" x14ac:dyDescent="0.35">
      <c r="K21" t="s">
        <v>1121</v>
      </c>
      <c r="L21" t="s">
        <v>1125</v>
      </c>
    </row>
    <row r="22" spans="2:14" x14ac:dyDescent="0.35">
      <c r="K22" t="s">
        <v>1122</v>
      </c>
    </row>
    <row r="24" spans="2:14" x14ac:dyDescent="0.35">
      <c r="G24" t="s">
        <v>1128</v>
      </c>
    </row>
    <row r="25" spans="2:14" x14ac:dyDescent="0.35">
      <c r="G25" s="25" t="s">
        <v>1067</v>
      </c>
      <c r="H25" s="25" t="s">
        <v>1074</v>
      </c>
      <c r="I25" s="5" t="s">
        <v>1130</v>
      </c>
      <c r="J25" s="5" t="s">
        <v>1129</v>
      </c>
      <c r="K25" s="5" t="s">
        <v>1131</v>
      </c>
      <c r="L25" s="5" t="s">
        <v>1132</v>
      </c>
    </row>
    <row r="26" spans="2:14" x14ac:dyDescent="0.35">
      <c r="G26" s="12" t="s">
        <v>1076</v>
      </c>
      <c r="H26">
        <v>621</v>
      </c>
      <c r="I26" s="28">
        <f t="shared" ref="I26:I39" si="3">H26/H$41</f>
        <v>0.26976542137271936</v>
      </c>
      <c r="J26">
        <f>H26</f>
        <v>621</v>
      </c>
      <c r="K26" s="28">
        <f>I26</f>
        <v>0.26976542137271936</v>
      </c>
      <c r="L26" t="s">
        <v>1133</v>
      </c>
    </row>
    <row r="27" spans="2:14" x14ac:dyDescent="0.35">
      <c r="B27" s="5" t="s">
        <v>1171</v>
      </c>
      <c r="G27" s="12" t="s">
        <v>361</v>
      </c>
      <c r="H27">
        <v>341</v>
      </c>
      <c r="I27" s="28">
        <f t="shared" si="3"/>
        <v>0.14813205907906168</v>
      </c>
      <c r="J27">
        <f t="shared" ref="J27:J39" si="4">J26+H27</f>
        <v>962</v>
      </c>
      <c r="K27" s="28">
        <f t="shared" ref="K27:K39" si="5">J27/J$39</f>
        <v>0.41789748045178104</v>
      </c>
      <c r="L27" t="s">
        <v>1133</v>
      </c>
    </row>
    <row r="28" spans="2:14" x14ac:dyDescent="0.35">
      <c r="B28" t="s">
        <v>1173</v>
      </c>
      <c r="C28" s="32">
        <f>0.2*14</f>
        <v>2.8000000000000003</v>
      </c>
      <c r="D28" s="20" t="s">
        <v>1172</v>
      </c>
      <c r="G28" s="12" t="s">
        <v>365</v>
      </c>
      <c r="H28">
        <v>265</v>
      </c>
      <c r="I28" s="28">
        <f t="shared" si="3"/>
        <v>0.11511728931364032</v>
      </c>
      <c r="J28">
        <f t="shared" si="4"/>
        <v>1227</v>
      </c>
      <c r="K28" s="28">
        <f t="shared" si="5"/>
        <v>0.53301476976542139</v>
      </c>
      <c r="L28" t="s">
        <v>1133</v>
      </c>
    </row>
    <row r="29" spans="2:14" x14ac:dyDescent="0.35">
      <c r="B29" t="s">
        <v>1174</v>
      </c>
      <c r="C29" s="14">
        <v>0.67500000000000004</v>
      </c>
      <c r="G29" s="12" t="s">
        <v>368</v>
      </c>
      <c r="H29">
        <v>255</v>
      </c>
      <c r="I29" s="28">
        <f t="shared" si="3"/>
        <v>0.1107732406602954</v>
      </c>
      <c r="J29">
        <f t="shared" si="4"/>
        <v>1482</v>
      </c>
      <c r="K29" s="28">
        <f t="shared" si="5"/>
        <v>0.64378801042571676</v>
      </c>
      <c r="L29" t="s">
        <v>1133</v>
      </c>
    </row>
    <row r="30" spans="2:14" x14ac:dyDescent="0.35">
      <c r="B30" t="s">
        <v>1175</v>
      </c>
      <c r="G30" s="12" t="s">
        <v>367</v>
      </c>
      <c r="H30">
        <v>190</v>
      </c>
      <c r="I30" s="28">
        <f t="shared" si="3"/>
        <v>8.2536924413553425E-2</v>
      </c>
      <c r="J30">
        <f t="shared" si="4"/>
        <v>1672</v>
      </c>
      <c r="K30" s="28">
        <f t="shared" si="5"/>
        <v>0.72632493483927019</v>
      </c>
      <c r="L30" t="s">
        <v>1133</v>
      </c>
      <c r="N30" t="s">
        <v>1135</v>
      </c>
    </row>
    <row r="31" spans="2:14" x14ac:dyDescent="0.35">
      <c r="G31" s="12" t="s">
        <v>1077</v>
      </c>
      <c r="H31">
        <v>184</v>
      </c>
      <c r="I31" s="28">
        <f t="shared" si="3"/>
        <v>7.993049522154648E-2</v>
      </c>
      <c r="J31">
        <f t="shared" si="4"/>
        <v>1856</v>
      </c>
      <c r="K31" s="28">
        <f t="shared" si="5"/>
        <v>0.80625543006081668</v>
      </c>
      <c r="L31" t="s">
        <v>1137</v>
      </c>
      <c r="N31" t="s">
        <v>1134</v>
      </c>
    </row>
    <row r="32" spans="2:14" x14ac:dyDescent="0.35">
      <c r="G32" s="12" t="s">
        <v>1075</v>
      </c>
      <c r="H32">
        <v>119</v>
      </c>
      <c r="I32" s="28">
        <f t="shared" si="3"/>
        <v>5.1694178974804515E-2</v>
      </c>
      <c r="J32">
        <f t="shared" si="4"/>
        <v>1975</v>
      </c>
      <c r="K32" s="28">
        <f t="shared" si="5"/>
        <v>0.85794960903562123</v>
      </c>
      <c r="L32" t="s">
        <v>1137</v>
      </c>
      <c r="N32" t="s">
        <v>1136</v>
      </c>
    </row>
    <row r="33" spans="7:18" x14ac:dyDescent="0.35">
      <c r="G33" s="12" t="s">
        <v>362</v>
      </c>
      <c r="H33">
        <v>111</v>
      </c>
      <c r="I33" s="28">
        <f t="shared" si="3"/>
        <v>4.8218940052128581E-2</v>
      </c>
      <c r="J33">
        <f t="shared" si="4"/>
        <v>2086</v>
      </c>
      <c r="K33" s="28">
        <f t="shared" si="5"/>
        <v>0.9061685490877498</v>
      </c>
      <c r="L33" t="s">
        <v>1137</v>
      </c>
    </row>
    <row r="34" spans="7:18" x14ac:dyDescent="0.35">
      <c r="G34" s="12" t="s">
        <v>364</v>
      </c>
      <c r="H34">
        <v>91</v>
      </c>
      <c r="I34" s="28">
        <f t="shared" si="3"/>
        <v>3.9530842745438749E-2</v>
      </c>
      <c r="J34">
        <f t="shared" si="4"/>
        <v>2177</v>
      </c>
      <c r="K34" s="28">
        <f t="shared" si="5"/>
        <v>0.94569939183318852</v>
      </c>
      <c r="L34" t="s">
        <v>1137</v>
      </c>
    </row>
    <row r="35" spans="7:18" x14ac:dyDescent="0.35">
      <c r="G35" s="12" t="s">
        <v>366</v>
      </c>
      <c r="H35">
        <v>53</v>
      </c>
      <c r="I35" s="28">
        <f t="shared" si="3"/>
        <v>2.3023457862728063E-2</v>
      </c>
      <c r="J35">
        <f t="shared" si="4"/>
        <v>2230</v>
      </c>
      <c r="K35" s="28">
        <f t="shared" si="5"/>
        <v>0.9687228496959166</v>
      </c>
      <c r="L35" t="s">
        <v>1138</v>
      </c>
    </row>
    <row r="36" spans="7:18" x14ac:dyDescent="0.35">
      <c r="G36" s="12" t="s">
        <v>369</v>
      </c>
      <c r="H36">
        <v>23</v>
      </c>
      <c r="I36" s="28">
        <f t="shared" si="3"/>
        <v>9.99131190269331E-3</v>
      </c>
      <c r="J36">
        <f t="shared" si="4"/>
        <v>2253</v>
      </c>
      <c r="K36" s="28">
        <f t="shared" si="5"/>
        <v>0.97871416159860991</v>
      </c>
      <c r="L36" t="s">
        <v>1138</v>
      </c>
    </row>
    <row r="37" spans="7:18" x14ac:dyDescent="0.35">
      <c r="G37" s="12" t="s">
        <v>359</v>
      </c>
      <c r="H37">
        <v>21</v>
      </c>
      <c r="I37" s="28">
        <f t="shared" si="3"/>
        <v>9.1225021720243264E-3</v>
      </c>
      <c r="J37">
        <f t="shared" si="4"/>
        <v>2274</v>
      </c>
      <c r="K37" s="28">
        <f t="shared" si="5"/>
        <v>0.98783666377063428</v>
      </c>
      <c r="L37" t="s">
        <v>1138</v>
      </c>
    </row>
    <row r="38" spans="7:18" x14ac:dyDescent="0.35">
      <c r="G38" s="12" t="s">
        <v>360</v>
      </c>
      <c r="H38">
        <v>15</v>
      </c>
      <c r="I38" s="28">
        <f t="shared" si="3"/>
        <v>6.5160729800173758E-3</v>
      </c>
      <c r="J38">
        <f t="shared" si="4"/>
        <v>2289</v>
      </c>
      <c r="K38" s="28">
        <f t="shared" si="5"/>
        <v>0.99435273675065161</v>
      </c>
      <c r="L38" t="s">
        <v>1138</v>
      </c>
    </row>
    <row r="39" spans="7:18" x14ac:dyDescent="0.35">
      <c r="G39" s="12" t="s">
        <v>363</v>
      </c>
      <c r="H39">
        <v>13</v>
      </c>
      <c r="I39" s="28">
        <f t="shared" si="3"/>
        <v>5.6472632493483931E-3</v>
      </c>
      <c r="J39">
        <f t="shared" si="4"/>
        <v>2302</v>
      </c>
      <c r="K39" s="28">
        <f t="shared" si="5"/>
        <v>1</v>
      </c>
      <c r="L39" t="s">
        <v>1138</v>
      </c>
    </row>
    <row r="40" spans="7:18" x14ac:dyDescent="0.35">
      <c r="G40" s="12"/>
    </row>
    <row r="41" spans="7:18" ht="15.5" x14ac:dyDescent="0.35">
      <c r="G41" s="12" t="s">
        <v>1139</v>
      </c>
      <c r="H41" s="27">
        <v>2302</v>
      </c>
      <c r="P41" s="34" t="s">
        <v>1170</v>
      </c>
    </row>
    <row r="42" spans="7:18" x14ac:dyDescent="0.35">
      <c r="J42" t="s">
        <v>1176</v>
      </c>
      <c r="K42">
        <f>H26+H27+H28+H29+H30</f>
        <v>1672</v>
      </c>
      <c r="L42" s="29">
        <f>K42/K$45</f>
        <v>0.72632493483927019</v>
      </c>
      <c r="P42" s="10" t="s">
        <v>1067</v>
      </c>
      <c r="Q42" t="s">
        <v>1098</v>
      </c>
      <c r="R42" s="31" t="s">
        <v>1169</v>
      </c>
    </row>
    <row r="43" spans="7:18" x14ac:dyDescent="0.35">
      <c r="J43" t="s">
        <v>1177</v>
      </c>
      <c r="K43">
        <f>SUM(H31:H34)</f>
        <v>505</v>
      </c>
      <c r="L43" s="29">
        <f t="shared" ref="L43:L44" si="6">K43/K$45</f>
        <v>0.21937445699391833</v>
      </c>
      <c r="P43" s="12" t="s">
        <v>1076</v>
      </c>
      <c r="Q43">
        <v>4379.7</v>
      </c>
      <c r="R43" s="28">
        <f>Q43/Q$53</f>
        <v>4.4939644386089592E-2</v>
      </c>
    </row>
    <row r="44" spans="7:18" x14ac:dyDescent="0.35">
      <c r="J44" t="s">
        <v>1178</v>
      </c>
      <c r="K44">
        <f>SUM(H35:H39)</f>
        <v>125</v>
      </c>
      <c r="L44" s="29">
        <f t="shared" si="6"/>
        <v>5.4300608166811468E-2</v>
      </c>
      <c r="P44" s="12" t="s">
        <v>367</v>
      </c>
      <c r="Q44">
        <v>7096.3</v>
      </c>
      <c r="R44" s="28">
        <f t="shared" ref="R44:R52" si="7">Q44/Q$53</f>
        <v>7.2814393327626917E-2</v>
      </c>
    </row>
    <row r="45" spans="7:18" x14ac:dyDescent="0.35">
      <c r="K45">
        <f>SUM(K42:K44)</f>
        <v>2302</v>
      </c>
      <c r="P45" s="12" t="s">
        <v>366</v>
      </c>
      <c r="Q45">
        <v>2006.25</v>
      </c>
      <c r="R45" s="28">
        <f t="shared" si="7"/>
        <v>2.0585921763954667E-2</v>
      </c>
    </row>
    <row r="46" spans="7:18" x14ac:dyDescent="0.35">
      <c r="P46" s="12" t="s">
        <v>364</v>
      </c>
      <c r="Q46">
        <v>7284</v>
      </c>
      <c r="R46" s="28">
        <f t="shared" si="7"/>
        <v>7.4740363428608486E-2</v>
      </c>
    </row>
    <row r="47" spans="7:18" x14ac:dyDescent="0.35">
      <c r="H47" s="5"/>
      <c r="I47" s="25"/>
      <c r="J47" s="25"/>
      <c r="P47" s="12" t="s">
        <v>365</v>
      </c>
      <c r="Q47">
        <v>11063.169999999998</v>
      </c>
      <c r="R47" s="28">
        <f t="shared" si="7"/>
        <v>0.11351803219007119</v>
      </c>
    </row>
    <row r="48" spans="7:18" x14ac:dyDescent="0.35">
      <c r="J48" s="12"/>
      <c r="P48" s="12" t="s">
        <v>361</v>
      </c>
      <c r="Q48">
        <v>11404.88</v>
      </c>
      <c r="R48" s="28">
        <f t="shared" si="7"/>
        <v>0.11702428281983365</v>
      </c>
    </row>
    <row r="49" spans="7:18" x14ac:dyDescent="0.35">
      <c r="J49" s="12"/>
      <c r="P49" s="12" t="s">
        <v>359</v>
      </c>
      <c r="Q49">
        <v>6800</v>
      </c>
      <c r="R49" s="28">
        <f t="shared" si="7"/>
        <v>6.9774089966301175E-2</v>
      </c>
    </row>
    <row r="50" spans="7:18" x14ac:dyDescent="0.35">
      <c r="J50" s="12"/>
      <c r="P50" s="12" t="s">
        <v>368</v>
      </c>
      <c r="Q50">
        <v>4800</v>
      </c>
      <c r="R50" s="28">
        <f t="shared" si="7"/>
        <v>4.9252298799742002E-2</v>
      </c>
    </row>
    <row r="51" spans="7:18" x14ac:dyDescent="0.35">
      <c r="J51" s="12"/>
      <c r="P51" s="12" t="s">
        <v>1099</v>
      </c>
      <c r="Q51">
        <v>41434.28</v>
      </c>
      <c r="R51" s="28">
        <f t="shared" si="7"/>
        <v>0.42515282064836962</v>
      </c>
    </row>
    <row r="52" spans="7:18" x14ac:dyDescent="0.35">
      <c r="J52" s="12"/>
      <c r="P52" s="12" t="s">
        <v>1075</v>
      </c>
      <c r="Q52">
        <v>1188.8</v>
      </c>
      <c r="R52" s="28">
        <f t="shared" si="7"/>
        <v>1.219815266940277E-2</v>
      </c>
    </row>
    <row r="53" spans="7:18" x14ac:dyDescent="0.35">
      <c r="J53" s="12"/>
      <c r="P53" s="12" t="s">
        <v>1068</v>
      </c>
      <c r="Q53">
        <v>97457.37999999999</v>
      </c>
    </row>
    <row r="54" spans="7:18" x14ac:dyDescent="0.35">
      <c r="J54" s="12"/>
    </row>
    <row r="55" spans="7:18" x14ac:dyDescent="0.35">
      <c r="J55" s="12"/>
    </row>
    <row r="56" spans="7:18" x14ac:dyDescent="0.35">
      <c r="J56" s="12"/>
    </row>
    <row r="57" spans="7:18" x14ac:dyDescent="0.35">
      <c r="J57" s="12"/>
    </row>
    <row r="58" spans="7:18" x14ac:dyDescent="0.35">
      <c r="J58" s="12"/>
    </row>
    <row r="59" spans="7:18" x14ac:dyDescent="0.35">
      <c r="J59" s="12"/>
    </row>
    <row r="60" spans="7:18" x14ac:dyDescent="0.35">
      <c r="J60" s="12"/>
    </row>
    <row r="61" spans="7:18" x14ac:dyDescent="0.35">
      <c r="J61" s="12"/>
    </row>
    <row r="62" spans="7:18" x14ac:dyDescent="0.35">
      <c r="G62" s="12"/>
    </row>
  </sheetData>
  <autoFilter ref="G3:I17" xr:uid="{F6686D03-C643-493C-BCDD-8A59463ED3D1}">
    <sortState xmlns:xlrd2="http://schemas.microsoft.com/office/spreadsheetml/2017/richdata2" ref="G4:I17">
      <sortCondition descending="1" ref="H3:H17"/>
    </sortState>
  </autoFilter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F272-D94B-466B-8ABF-18A59D4AE6E3}">
  <dimension ref="A2:Q55"/>
  <sheetViews>
    <sheetView zoomScale="53" zoomScaleNormal="55" workbookViewId="0">
      <selection activeCell="U1" sqref="U1"/>
    </sheetView>
  </sheetViews>
  <sheetFormatPr defaultRowHeight="14.5" x14ac:dyDescent="0.35"/>
  <cols>
    <col min="1" max="1" width="40.36328125" customWidth="1"/>
    <col min="2" max="2" width="17.7265625" customWidth="1"/>
    <col min="4" max="4" width="22.90625" customWidth="1"/>
    <col min="5" max="5" width="14.6328125" bestFit="1" customWidth="1"/>
    <col min="6" max="6" width="17.08984375" bestFit="1" customWidth="1"/>
    <col min="7" max="7" width="29.90625" customWidth="1"/>
    <col min="8" max="8" width="17.26953125" customWidth="1"/>
    <col min="9" max="9" width="15.36328125" customWidth="1"/>
    <col min="10" max="10" width="16.7265625" customWidth="1"/>
    <col min="11" max="11" width="23.90625" customWidth="1"/>
    <col min="12" max="12" width="8.7265625" customWidth="1"/>
    <col min="13" max="13" width="21.6328125" customWidth="1"/>
  </cols>
  <sheetData>
    <row r="2" spans="1:17" x14ac:dyDescent="0.35">
      <c r="A2" t="s">
        <v>1150</v>
      </c>
      <c r="B2" t="s">
        <v>1156</v>
      </c>
      <c r="M2" s="16" t="s">
        <v>1168</v>
      </c>
    </row>
    <row r="3" spans="1:17" x14ac:dyDescent="0.35">
      <c r="A3" t="s">
        <v>1147</v>
      </c>
      <c r="M3" s="25" t="s">
        <v>1067</v>
      </c>
      <c r="N3" s="30" t="s">
        <v>1114</v>
      </c>
      <c r="O3" s="30" t="s">
        <v>1167</v>
      </c>
      <c r="P3" s="30" t="s">
        <v>1146</v>
      </c>
      <c r="Q3" s="30" t="s">
        <v>1165</v>
      </c>
    </row>
    <row r="4" spans="1:17" x14ac:dyDescent="0.35">
      <c r="A4" t="s">
        <v>1148</v>
      </c>
      <c r="B4" s="20">
        <v>200</v>
      </c>
      <c r="D4" s="10" t="s">
        <v>1067</v>
      </c>
      <c r="E4" t="s">
        <v>1074</v>
      </c>
      <c r="F4" t="s">
        <v>1151</v>
      </c>
      <c r="G4" s="31" t="s">
        <v>1152</v>
      </c>
      <c r="H4" s="31" t="s">
        <v>1154</v>
      </c>
      <c r="I4" s="31" t="s">
        <v>1153</v>
      </c>
      <c r="J4" s="31" t="s">
        <v>1146</v>
      </c>
      <c r="M4" s="12" t="s">
        <v>361</v>
      </c>
      <c r="N4" t="s">
        <v>1119</v>
      </c>
      <c r="O4" t="s">
        <v>1133</v>
      </c>
      <c r="P4" s="32">
        <f>_xlfn.XLOOKUP(M4,'Analysis II'!$D$5:$D$18,'Analysis II'!J$5:J$18,0)</f>
        <v>272.94484477099968</v>
      </c>
      <c r="Q4">
        <v>114</v>
      </c>
    </row>
    <row r="5" spans="1:17" x14ac:dyDescent="0.35">
      <c r="A5" t="s">
        <v>1149</v>
      </c>
      <c r="B5" t="s">
        <v>1162</v>
      </c>
      <c r="D5" s="12" t="s">
        <v>1076</v>
      </c>
      <c r="E5">
        <v>621</v>
      </c>
      <c r="F5">
        <v>20776.509999999995</v>
      </c>
      <c r="G5" s="1">
        <f>F5/E5</f>
        <v>33.456537842190009</v>
      </c>
      <c r="H5" s="1">
        <f>0.2*G5</f>
        <v>6.6913075684380026</v>
      </c>
      <c r="I5">
        <f>E5*12</f>
        <v>7452</v>
      </c>
      <c r="J5" s="32">
        <f>SQRT((2*I5*B$4)/H5)</f>
        <v>667.43798947793232</v>
      </c>
      <c r="M5" s="12" t="s">
        <v>1076</v>
      </c>
      <c r="N5" t="s">
        <v>1119</v>
      </c>
      <c r="O5" t="s">
        <v>1133</v>
      </c>
      <c r="P5" s="32">
        <f>_xlfn.XLOOKUP(M5,'Analysis II'!$D$5:$D$18,'Analysis II'!J$5:J$18,0)</f>
        <v>667.43798947793232</v>
      </c>
      <c r="Q5">
        <v>207</v>
      </c>
    </row>
    <row r="6" spans="1:17" x14ac:dyDescent="0.35">
      <c r="D6" s="12" t="s">
        <v>363</v>
      </c>
      <c r="E6">
        <v>13</v>
      </c>
      <c r="F6">
        <v>1952.04</v>
      </c>
      <c r="G6" s="1">
        <f t="shared" ref="G6:G18" si="0">F6/E6</f>
        <v>150.15692307692308</v>
      </c>
      <c r="H6" s="1">
        <f t="shared" ref="H6:H18" si="1">0.2*G6</f>
        <v>30.031384615384617</v>
      </c>
      <c r="I6">
        <f t="shared" ref="I6:I18" si="2">E6*12</f>
        <v>156</v>
      </c>
      <c r="J6" s="32">
        <f t="shared" ref="J6:J18" si="3">SQRT((2*I6*B$4)/H6)</f>
        <v>45.583179727304689</v>
      </c>
      <c r="M6" s="12" t="s">
        <v>1077</v>
      </c>
      <c r="N6" t="s">
        <v>1119</v>
      </c>
      <c r="O6" t="s">
        <v>1137</v>
      </c>
      <c r="P6" s="32">
        <f>_xlfn.XLOOKUP(M6,'Analysis II'!$D$5:$D$18,'Analysis II'!J$5:J$18,0)</f>
        <v>182.01102147306824</v>
      </c>
      <c r="Q6">
        <v>61</v>
      </c>
    </row>
    <row r="7" spans="1:17" x14ac:dyDescent="0.35">
      <c r="D7" s="12" t="s">
        <v>1077</v>
      </c>
      <c r="E7">
        <v>184</v>
      </c>
      <c r="F7">
        <v>24527.399999999998</v>
      </c>
      <c r="G7" s="1">
        <f t="shared" si="0"/>
        <v>133.30108695652171</v>
      </c>
      <c r="H7" s="1">
        <f t="shared" si="1"/>
        <v>26.660217391304343</v>
      </c>
      <c r="I7">
        <f t="shared" si="2"/>
        <v>2208</v>
      </c>
      <c r="J7" s="32">
        <f t="shared" si="3"/>
        <v>182.01102147306824</v>
      </c>
      <c r="M7" s="12" t="s">
        <v>368</v>
      </c>
      <c r="N7" t="s">
        <v>1119</v>
      </c>
      <c r="O7" t="s">
        <v>1133</v>
      </c>
      <c r="P7" s="32">
        <f>_xlfn.XLOOKUP(M7,'Analysis II'!$D$5:$D$18,'Analysis II'!J$5:J$18,0)</f>
        <v>426.40043915409865</v>
      </c>
      <c r="Q7">
        <v>85</v>
      </c>
    </row>
    <row r="8" spans="1:17" x14ac:dyDescent="0.35">
      <c r="D8" s="12" t="s">
        <v>367</v>
      </c>
      <c r="E8">
        <v>190</v>
      </c>
      <c r="F8">
        <v>6550.6299999999992</v>
      </c>
      <c r="G8" s="1">
        <f t="shared" si="0"/>
        <v>34.476999999999997</v>
      </c>
      <c r="H8" s="1">
        <f t="shared" si="1"/>
        <v>6.8953999999999995</v>
      </c>
      <c r="I8">
        <f t="shared" si="2"/>
        <v>2280</v>
      </c>
      <c r="J8" s="32">
        <f t="shared" si="3"/>
        <v>363.6785500530068</v>
      </c>
      <c r="M8" s="12" t="s">
        <v>365</v>
      </c>
      <c r="N8" t="s">
        <v>1119</v>
      </c>
      <c r="O8" t="s">
        <v>1133</v>
      </c>
      <c r="P8" s="32">
        <f>_xlfn.XLOOKUP(M8,'Analysis II'!$D$5:$D$18,'Analysis II'!J$5:J$18,0)</f>
        <v>506.45791411147047</v>
      </c>
      <c r="Q8">
        <v>88</v>
      </c>
    </row>
    <row r="9" spans="1:17" x14ac:dyDescent="0.35">
      <c r="D9" s="12" t="s">
        <v>366</v>
      </c>
      <c r="E9">
        <v>53</v>
      </c>
      <c r="F9">
        <v>5241.41</v>
      </c>
      <c r="G9" s="1">
        <f t="shared" si="0"/>
        <v>98.894528301886794</v>
      </c>
      <c r="H9" s="1">
        <f t="shared" si="1"/>
        <v>19.778905660377362</v>
      </c>
      <c r="I9">
        <f t="shared" si="2"/>
        <v>636</v>
      </c>
      <c r="J9" s="32">
        <f t="shared" si="3"/>
        <v>113.41158603246896</v>
      </c>
      <c r="M9" s="12" t="s">
        <v>367</v>
      </c>
      <c r="N9" t="s">
        <v>1120</v>
      </c>
      <c r="O9" t="s">
        <v>1133</v>
      </c>
      <c r="P9" s="32">
        <f>_xlfn.XLOOKUP(M9,'Analysis II'!$D$5:$D$18,'Analysis II'!J$5:J$18,0)</f>
        <v>363.6785500530068</v>
      </c>
      <c r="Q9">
        <v>63</v>
      </c>
    </row>
    <row r="10" spans="1:17" x14ac:dyDescent="0.35">
      <c r="D10" s="12" t="s">
        <v>364</v>
      </c>
      <c r="E10">
        <v>91</v>
      </c>
      <c r="F10">
        <v>4247.17</v>
      </c>
      <c r="G10" s="1">
        <f t="shared" si="0"/>
        <v>46.6721978021978</v>
      </c>
      <c r="H10" s="1">
        <f t="shared" si="1"/>
        <v>9.3344395604395611</v>
      </c>
      <c r="I10">
        <f t="shared" si="2"/>
        <v>1092</v>
      </c>
      <c r="J10" s="32">
        <f t="shared" si="3"/>
        <v>216.32025730059075</v>
      </c>
      <c r="M10" s="12" t="s">
        <v>359</v>
      </c>
      <c r="N10" t="s">
        <v>1120</v>
      </c>
      <c r="O10" t="s">
        <v>1138</v>
      </c>
      <c r="P10" s="32">
        <f>_xlfn.XLOOKUP(M10,'Analysis II'!$D$5:$D$18,'Analysis II'!J$5:J$18,0)</f>
        <v>36.351103895488428</v>
      </c>
      <c r="Q10">
        <v>7</v>
      </c>
    </row>
    <row r="11" spans="1:17" x14ac:dyDescent="0.35">
      <c r="D11" s="12" t="s">
        <v>369</v>
      </c>
      <c r="E11">
        <v>23</v>
      </c>
      <c r="F11">
        <v>1963.2</v>
      </c>
      <c r="G11" s="1">
        <f t="shared" si="0"/>
        <v>85.356521739130443</v>
      </c>
      <c r="H11" s="1">
        <f t="shared" si="1"/>
        <v>17.071304347826089</v>
      </c>
      <c r="I11">
        <f t="shared" si="2"/>
        <v>276</v>
      </c>
      <c r="J11" s="32">
        <f t="shared" si="3"/>
        <v>80.417614146632545</v>
      </c>
      <c r="M11" s="12" t="s">
        <v>364</v>
      </c>
      <c r="N11" t="s">
        <v>1120</v>
      </c>
      <c r="O11" t="s">
        <v>1137</v>
      </c>
      <c r="P11" s="32">
        <f>_xlfn.XLOOKUP(M11,'Analysis II'!$D$5:$D$18,'Analysis II'!J$5:J$18,0)</f>
        <v>216.32025730059075</v>
      </c>
      <c r="Q11">
        <v>30</v>
      </c>
    </row>
    <row r="12" spans="1:17" x14ac:dyDescent="0.35">
      <c r="D12" s="12" t="s">
        <v>1075</v>
      </c>
      <c r="E12">
        <v>119</v>
      </c>
      <c r="F12">
        <v>4847.5900000000011</v>
      </c>
      <c r="G12" s="1">
        <f t="shared" si="0"/>
        <v>40.736050420168077</v>
      </c>
      <c r="H12" s="1">
        <f t="shared" si="1"/>
        <v>8.147210084033615</v>
      </c>
      <c r="I12">
        <f t="shared" si="2"/>
        <v>1428</v>
      </c>
      <c r="J12" s="32">
        <f t="shared" si="3"/>
        <v>264.78272159736878</v>
      </c>
      <c r="M12" s="12" t="s">
        <v>1075</v>
      </c>
      <c r="N12" t="s">
        <v>1120</v>
      </c>
      <c r="O12" t="s">
        <v>1137</v>
      </c>
      <c r="P12" s="32">
        <f>_xlfn.XLOOKUP(M12,'Analysis II'!$D$5:$D$18,'Analysis II'!J$5:J$18,0)</f>
        <v>264.78272159736878</v>
      </c>
      <c r="Q12">
        <v>40</v>
      </c>
    </row>
    <row r="13" spans="1:17" x14ac:dyDescent="0.35">
      <c r="D13" s="12" t="s">
        <v>360</v>
      </c>
      <c r="E13">
        <v>15</v>
      </c>
      <c r="F13">
        <v>841.15000000000009</v>
      </c>
      <c r="G13" s="1">
        <f t="shared" si="0"/>
        <v>56.076666666666675</v>
      </c>
      <c r="H13" s="1">
        <f t="shared" si="1"/>
        <v>11.215333333333335</v>
      </c>
      <c r="I13">
        <f t="shared" si="2"/>
        <v>180</v>
      </c>
      <c r="J13" s="32">
        <f t="shared" si="3"/>
        <v>80.123544858588076</v>
      </c>
      <c r="M13" s="12" t="s">
        <v>362</v>
      </c>
      <c r="N13" t="s">
        <v>1126</v>
      </c>
      <c r="O13" t="s">
        <v>1137</v>
      </c>
      <c r="P13" s="32">
        <f>_xlfn.XLOOKUP(M13,'Analysis II'!$D$5:$D$18,'Analysis II'!J$5:J$18,0)</f>
        <v>218.75460414015231</v>
      </c>
      <c r="Q13">
        <v>37</v>
      </c>
    </row>
    <row r="14" spans="1:17" x14ac:dyDescent="0.35">
      <c r="D14" s="12" t="s">
        <v>365</v>
      </c>
      <c r="E14">
        <v>265</v>
      </c>
      <c r="F14">
        <v>6570.7699999999995</v>
      </c>
      <c r="G14" s="1">
        <f t="shared" si="0"/>
        <v>24.795358490566034</v>
      </c>
      <c r="H14" s="1">
        <f t="shared" si="1"/>
        <v>4.959071698113207</v>
      </c>
      <c r="I14">
        <f t="shared" si="2"/>
        <v>3180</v>
      </c>
      <c r="J14" s="32">
        <f t="shared" si="3"/>
        <v>506.45791411147047</v>
      </c>
      <c r="M14" s="12" t="s">
        <v>366</v>
      </c>
      <c r="N14" t="s">
        <v>1126</v>
      </c>
      <c r="O14" t="s">
        <v>1138</v>
      </c>
      <c r="P14" s="32">
        <f>_xlfn.XLOOKUP(M14,'Analysis II'!$D$5:$D$18,'Analysis II'!J$5:J$18,0)</f>
        <v>113.41158603246896</v>
      </c>
      <c r="Q14">
        <v>18</v>
      </c>
    </row>
    <row r="15" spans="1:17" x14ac:dyDescent="0.35">
      <c r="D15" s="12" t="s">
        <v>362</v>
      </c>
      <c r="E15">
        <v>111</v>
      </c>
      <c r="F15">
        <v>6179.3499999999995</v>
      </c>
      <c r="G15" s="1">
        <f t="shared" si="0"/>
        <v>55.669819819819814</v>
      </c>
      <c r="H15" s="1">
        <f t="shared" si="1"/>
        <v>11.133963963963964</v>
      </c>
      <c r="I15">
        <f t="shared" si="2"/>
        <v>1332</v>
      </c>
      <c r="J15" s="32">
        <f t="shared" si="3"/>
        <v>218.75460414015231</v>
      </c>
      <c r="M15" s="12" t="s">
        <v>369</v>
      </c>
      <c r="N15" t="s">
        <v>1126</v>
      </c>
      <c r="O15" t="s">
        <v>1138</v>
      </c>
      <c r="P15" s="32">
        <f>_xlfn.XLOOKUP(M15,'Analysis II'!$D$5:$D$18,'Analysis II'!J$5:J$18,0)</f>
        <v>80.417614146632545</v>
      </c>
      <c r="Q15">
        <v>8</v>
      </c>
    </row>
    <row r="16" spans="1:17" x14ac:dyDescent="0.35">
      <c r="D16" s="12" t="s">
        <v>361</v>
      </c>
      <c r="E16">
        <v>341</v>
      </c>
      <c r="F16">
        <v>37460.210000000014</v>
      </c>
      <c r="G16" s="1">
        <f t="shared" si="0"/>
        <v>109.85398826979475</v>
      </c>
      <c r="H16" s="1">
        <f t="shared" si="1"/>
        <v>21.970797653958954</v>
      </c>
      <c r="I16">
        <f t="shared" si="2"/>
        <v>4092</v>
      </c>
      <c r="J16" s="32">
        <f t="shared" si="3"/>
        <v>272.94484477099968</v>
      </c>
      <c r="M16" s="12" t="s">
        <v>363</v>
      </c>
      <c r="N16" t="s">
        <v>1126</v>
      </c>
      <c r="O16" t="s">
        <v>1138</v>
      </c>
      <c r="P16" s="32">
        <f>_xlfn.XLOOKUP(M16,'Analysis II'!$D$5:$D$18,'Analysis II'!J$5:J$18,0)</f>
        <v>45.583179727304689</v>
      </c>
      <c r="Q16">
        <v>4</v>
      </c>
    </row>
    <row r="17" spans="1:17" x14ac:dyDescent="0.35">
      <c r="D17" s="12" t="s">
        <v>359</v>
      </c>
      <c r="E17">
        <v>21</v>
      </c>
      <c r="F17">
        <v>8009.67</v>
      </c>
      <c r="G17" s="1">
        <f t="shared" si="0"/>
        <v>381.41285714285715</v>
      </c>
      <c r="H17" s="1">
        <f t="shared" si="1"/>
        <v>76.28257142857143</v>
      </c>
      <c r="I17">
        <f t="shared" si="2"/>
        <v>252</v>
      </c>
      <c r="J17" s="32">
        <f t="shared" si="3"/>
        <v>36.351103895488428</v>
      </c>
      <c r="M17" s="12" t="s">
        <v>360</v>
      </c>
      <c r="N17" t="s">
        <v>1126</v>
      </c>
      <c r="O17" t="s">
        <v>1138</v>
      </c>
      <c r="P17" s="32">
        <f>_xlfn.XLOOKUP(M17,'Analysis II'!$D$5:$D$18,'Analysis II'!J$5:J$18,0)</f>
        <v>80.123544858588076</v>
      </c>
      <c r="Q17">
        <v>5</v>
      </c>
    </row>
    <row r="18" spans="1:17" x14ac:dyDescent="0.35">
      <c r="D18" s="12" t="s">
        <v>368</v>
      </c>
      <c r="E18">
        <v>255</v>
      </c>
      <c r="F18">
        <v>8583.3399999999983</v>
      </c>
      <c r="G18" s="1">
        <f t="shared" si="0"/>
        <v>33.66015686274509</v>
      </c>
      <c r="H18" s="1">
        <f t="shared" si="1"/>
        <v>6.7320313725490184</v>
      </c>
      <c r="I18">
        <f t="shared" si="2"/>
        <v>3060</v>
      </c>
      <c r="J18" s="32">
        <f t="shared" si="3"/>
        <v>426.40043915409865</v>
      </c>
    </row>
    <row r="19" spans="1:17" x14ac:dyDescent="0.35">
      <c r="D19" s="12" t="s">
        <v>1068</v>
      </c>
      <c r="E19">
        <v>2302</v>
      </c>
      <c r="F19">
        <v>137750.44</v>
      </c>
      <c r="G19" s="1"/>
      <c r="H19" s="1"/>
    </row>
    <row r="22" spans="1:17" x14ac:dyDescent="0.35">
      <c r="A22" t="s">
        <v>1155</v>
      </c>
      <c r="B22" t="s">
        <v>1157</v>
      </c>
      <c r="D22" s="10" t="s">
        <v>1067</v>
      </c>
      <c r="E22" t="s">
        <v>1074</v>
      </c>
      <c r="F22" s="31" t="s">
        <v>1161</v>
      </c>
      <c r="G22" s="31" t="s">
        <v>1164</v>
      </c>
      <c r="H22" s="31" t="s">
        <v>1165</v>
      </c>
      <c r="I22" s="44"/>
      <c r="J22" s="45"/>
      <c r="K22" s="45"/>
    </row>
    <row r="23" spans="1:17" x14ac:dyDescent="0.35">
      <c r="A23" t="s">
        <v>1158</v>
      </c>
      <c r="B23" t="s">
        <v>1161</v>
      </c>
      <c r="D23" s="12" t="s">
        <v>1076</v>
      </c>
      <c r="E23">
        <v>621</v>
      </c>
      <c r="F23" s="32">
        <f>E23/30</f>
        <v>20.7</v>
      </c>
      <c r="G23" s="32">
        <f>0.2*E23</f>
        <v>124.2</v>
      </c>
      <c r="H23" s="32">
        <f>(F23*B$24)+G23</f>
        <v>207</v>
      </c>
      <c r="I23" s="12"/>
      <c r="J23" s="32"/>
      <c r="K23" s="32"/>
    </row>
    <row r="24" spans="1:17" x14ac:dyDescent="0.35">
      <c r="A24" t="s">
        <v>1159</v>
      </c>
      <c r="B24">
        <v>4</v>
      </c>
      <c r="C24" t="s">
        <v>1166</v>
      </c>
      <c r="D24" s="12" t="s">
        <v>363</v>
      </c>
      <c r="E24">
        <v>13</v>
      </c>
      <c r="F24" s="33">
        <f t="shared" ref="F24:F36" si="4">E24/30</f>
        <v>0.43333333333333335</v>
      </c>
      <c r="G24" s="32">
        <f t="shared" ref="G24:G36" si="5">0.2*E24</f>
        <v>2.6</v>
      </c>
      <c r="H24" s="32">
        <f t="shared" ref="H24:H36" si="6">(F24*B$24)+G24</f>
        <v>4.3333333333333339</v>
      </c>
      <c r="I24" s="12"/>
      <c r="J24" s="32"/>
      <c r="K24" s="32"/>
    </row>
    <row r="25" spans="1:17" x14ac:dyDescent="0.35">
      <c r="A25" t="s">
        <v>1160</v>
      </c>
      <c r="B25" t="s">
        <v>1163</v>
      </c>
      <c r="D25" s="12" t="s">
        <v>1077</v>
      </c>
      <c r="E25">
        <v>184</v>
      </c>
      <c r="F25" s="32">
        <f t="shared" si="4"/>
        <v>6.1333333333333337</v>
      </c>
      <c r="G25" s="32">
        <f t="shared" si="5"/>
        <v>36.800000000000004</v>
      </c>
      <c r="H25" s="32">
        <f t="shared" si="6"/>
        <v>61.333333333333343</v>
      </c>
      <c r="I25" s="12"/>
      <c r="J25" s="32"/>
      <c r="K25" s="32"/>
    </row>
    <row r="26" spans="1:17" x14ac:dyDescent="0.35">
      <c r="D26" s="12" t="s">
        <v>367</v>
      </c>
      <c r="E26">
        <v>190</v>
      </c>
      <c r="F26" s="32">
        <f t="shared" si="4"/>
        <v>6.333333333333333</v>
      </c>
      <c r="G26" s="32">
        <f t="shared" si="5"/>
        <v>38</v>
      </c>
      <c r="H26" s="32">
        <f t="shared" si="6"/>
        <v>63.333333333333329</v>
      </c>
      <c r="I26" s="12"/>
      <c r="J26" s="32"/>
      <c r="K26" s="32"/>
    </row>
    <row r="27" spans="1:17" x14ac:dyDescent="0.35">
      <c r="D27" s="12" t="s">
        <v>366</v>
      </c>
      <c r="E27">
        <v>53</v>
      </c>
      <c r="F27" s="32">
        <f t="shared" si="4"/>
        <v>1.7666666666666666</v>
      </c>
      <c r="G27" s="32">
        <f t="shared" si="5"/>
        <v>10.600000000000001</v>
      </c>
      <c r="H27" s="32">
        <f t="shared" si="6"/>
        <v>17.666666666666668</v>
      </c>
      <c r="I27" s="12"/>
      <c r="J27" s="32"/>
      <c r="K27" s="32"/>
    </row>
    <row r="28" spans="1:17" x14ac:dyDescent="0.35">
      <c r="D28" s="12" t="s">
        <v>364</v>
      </c>
      <c r="E28">
        <v>91</v>
      </c>
      <c r="F28" s="32">
        <f t="shared" si="4"/>
        <v>3.0333333333333332</v>
      </c>
      <c r="G28" s="32">
        <f t="shared" si="5"/>
        <v>18.2</v>
      </c>
      <c r="H28" s="32">
        <f t="shared" si="6"/>
        <v>30.333333333333332</v>
      </c>
      <c r="I28" s="12"/>
      <c r="J28" s="32"/>
      <c r="K28" s="32"/>
    </row>
    <row r="29" spans="1:17" x14ac:dyDescent="0.35">
      <c r="D29" s="12" t="s">
        <v>369</v>
      </c>
      <c r="E29">
        <v>23</v>
      </c>
      <c r="F29" s="33">
        <f t="shared" si="4"/>
        <v>0.76666666666666672</v>
      </c>
      <c r="G29" s="32">
        <f t="shared" si="5"/>
        <v>4.6000000000000005</v>
      </c>
      <c r="H29" s="32">
        <f t="shared" si="6"/>
        <v>7.6666666666666679</v>
      </c>
      <c r="I29" s="12"/>
      <c r="J29" s="32"/>
      <c r="K29" s="32"/>
    </row>
    <row r="30" spans="1:17" x14ac:dyDescent="0.35">
      <c r="D30" s="12" t="s">
        <v>1075</v>
      </c>
      <c r="E30">
        <v>119</v>
      </c>
      <c r="F30" s="32">
        <f t="shared" si="4"/>
        <v>3.9666666666666668</v>
      </c>
      <c r="G30" s="32">
        <f t="shared" si="5"/>
        <v>23.8</v>
      </c>
      <c r="H30" s="32">
        <v>40</v>
      </c>
      <c r="I30" s="12"/>
      <c r="J30" s="32"/>
      <c r="K30" s="32"/>
    </row>
    <row r="31" spans="1:17" x14ac:dyDescent="0.35">
      <c r="D31" s="12" t="s">
        <v>360</v>
      </c>
      <c r="E31">
        <v>15</v>
      </c>
      <c r="F31" s="33">
        <f t="shared" si="4"/>
        <v>0.5</v>
      </c>
      <c r="G31" s="32">
        <f t="shared" si="5"/>
        <v>3</v>
      </c>
      <c r="H31" s="32">
        <f t="shared" si="6"/>
        <v>5</v>
      </c>
      <c r="I31" s="12"/>
      <c r="J31" s="32"/>
      <c r="K31" s="32"/>
    </row>
    <row r="32" spans="1:17" x14ac:dyDescent="0.35">
      <c r="D32" s="12" t="s">
        <v>365</v>
      </c>
      <c r="E32">
        <v>265</v>
      </c>
      <c r="F32" s="32">
        <f t="shared" si="4"/>
        <v>8.8333333333333339</v>
      </c>
      <c r="G32" s="32">
        <f t="shared" si="5"/>
        <v>53</v>
      </c>
      <c r="H32" s="32">
        <f t="shared" si="6"/>
        <v>88.333333333333343</v>
      </c>
      <c r="I32" s="12"/>
      <c r="J32" s="32"/>
      <c r="K32" s="32"/>
    </row>
    <row r="33" spans="4:11" x14ac:dyDescent="0.35">
      <c r="D33" s="12" t="s">
        <v>362</v>
      </c>
      <c r="E33">
        <v>111</v>
      </c>
      <c r="F33" s="32">
        <f t="shared" si="4"/>
        <v>3.7</v>
      </c>
      <c r="G33" s="32">
        <f t="shared" si="5"/>
        <v>22.200000000000003</v>
      </c>
      <c r="H33" s="32">
        <f t="shared" si="6"/>
        <v>37</v>
      </c>
      <c r="I33" s="12"/>
      <c r="J33" s="32"/>
      <c r="K33" s="32"/>
    </row>
    <row r="34" spans="4:11" x14ac:dyDescent="0.35">
      <c r="D34" s="12" t="s">
        <v>361</v>
      </c>
      <c r="E34">
        <v>341</v>
      </c>
      <c r="F34" s="32">
        <f t="shared" si="4"/>
        <v>11.366666666666667</v>
      </c>
      <c r="G34" s="32">
        <f t="shared" si="5"/>
        <v>68.2</v>
      </c>
      <c r="H34" s="32">
        <f t="shared" si="6"/>
        <v>113.66666666666667</v>
      </c>
      <c r="I34" s="12"/>
      <c r="J34" s="32"/>
      <c r="K34" s="32"/>
    </row>
    <row r="35" spans="4:11" x14ac:dyDescent="0.35">
      <c r="D35" s="12" t="s">
        <v>359</v>
      </c>
      <c r="E35">
        <v>21</v>
      </c>
      <c r="F35" s="33">
        <f t="shared" si="4"/>
        <v>0.7</v>
      </c>
      <c r="G35" s="32">
        <f t="shared" si="5"/>
        <v>4.2</v>
      </c>
      <c r="H35" s="32">
        <f t="shared" si="6"/>
        <v>7</v>
      </c>
      <c r="I35" s="12"/>
      <c r="J35" s="32"/>
      <c r="K35" s="32"/>
    </row>
    <row r="36" spans="4:11" x14ac:dyDescent="0.35">
      <c r="D36" s="12" t="s">
        <v>368</v>
      </c>
      <c r="E36">
        <v>255</v>
      </c>
      <c r="F36" s="32">
        <f t="shared" si="4"/>
        <v>8.5</v>
      </c>
      <c r="G36" s="32">
        <f t="shared" si="5"/>
        <v>51</v>
      </c>
      <c r="H36" s="32">
        <f t="shared" si="6"/>
        <v>85</v>
      </c>
      <c r="I36" s="12"/>
      <c r="J36" s="32"/>
      <c r="K36" s="32"/>
    </row>
    <row r="37" spans="4:11" x14ac:dyDescent="0.35">
      <c r="D37" s="12" t="s">
        <v>1068</v>
      </c>
      <c r="E37">
        <v>2302</v>
      </c>
      <c r="G37" s="32"/>
    </row>
    <row r="38" spans="4:11" x14ac:dyDescent="0.35">
      <c r="H38" s="32"/>
    </row>
    <row r="39" spans="4:11" x14ac:dyDescent="0.35">
      <c r="H39" s="32"/>
    </row>
    <row r="40" spans="4:11" x14ac:dyDescent="0.35">
      <c r="H40" s="32"/>
    </row>
    <row r="42" spans="4:11" x14ac:dyDescent="0.35">
      <c r="D42" s="12"/>
    </row>
    <row r="43" spans="4:11" x14ac:dyDescent="0.35">
      <c r="D43" s="12"/>
    </row>
    <row r="44" spans="4:11" x14ac:dyDescent="0.35">
      <c r="D44" s="12"/>
    </row>
    <row r="45" spans="4:11" x14ac:dyDescent="0.35">
      <c r="D45" s="12"/>
    </row>
    <row r="46" spans="4:11" x14ac:dyDescent="0.35">
      <c r="D46" s="12"/>
    </row>
    <row r="47" spans="4:11" x14ac:dyDescent="0.35">
      <c r="D47" s="12"/>
    </row>
    <row r="48" spans="4:11" x14ac:dyDescent="0.35">
      <c r="D48" s="12"/>
    </row>
    <row r="49" spans="4:4" x14ac:dyDescent="0.35">
      <c r="D49" s="12"/>
    </row>
    <row r="50" spans="4:4" x14ac:dyDescent="0.35">
      <c r="D50" s="12"/>
    </row>
    <row r="51" spans="4:4" x14ac:dyDescent="0.35">
      <c r="D51" s="12"/>
    </row>
    <row r="52" spans="4:4" x14ac:dyDescent="0.35">
      <c r="D52" s="12"/>
    </row>
    <row r="53" spans="4:4" x14ac:dyDescent="0.35">
      <c r="D53" s="12"/>
    </row>
    <row r="54" spans="4:4" x14ac:dyDescent="0.35">
      <c r="D54" s="12"/>
    </row>
    <row r="55" spans="4:4" x14ac:dyDescent="0.35">
      <c r="D55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7A70-C5C7-4A6B-A9C7-79FC9FBA7BC4}">
  <dimension ref="B1:AM53"/>
  <sheetViews>
    <sheetView tabSelected="1" zoomScale="47" zoomScaleNormal="41" workbookViewId="0">
      <selection activeCell="J4" sqref="J4"/>
    </sheetView>
  </sheetViews>
  <sheetFormatPr defaultColWidth="10.6328125" defaultRowHeight="14.5" x14ac:dyDescent="0.35"/>
  <cols>
    <col min="2" max="2" width="24.453125" customWidth="1"/>
    <col min="4" max="4" width="19.81640625" bestFit="1" customWidth="1"/>
    <col min="5" max="5" width="23.7265625" bestFit="1" customWidth="1"/>
    <col min="6" max="6" width="36.08984375" customWidth="1"/>
    <col min="7" max="7" width="18.6328125" customWidth="1"/>
    <col min="8" max="8" width="18.7265625" bestFit="1" customWidth="1"/>
    <col min="9" max="9" width="28.81640625" customWidth="1"/>
    <col min="10" max="10" width="11.54296875" bestFit="1" customWidth="1"/>
    <col min="11" max="11" width="11.36328125" bestFit="1" customWidth="1"/>
    <col min="12" max="12" width="15.6328125" bestFit="1" customWidth="1"/>
    <col min="13" max="13" width="24.54296875" bestFit="1" customWidth="1"/>
    <col min="14" max="14" width="13.90625" bestFit="1" customWidth="1"/>
    <col min="15" max="15" width="14.81640625" bestFit="1" customWidth="1"/>
    <col min="16" max="16" width="11.36328125" bestFit="1" customWidth="1"/>
    <col min="17" max="17" width="13.26953125" bestFit="1" customWidth="1"/>
    <col min="18" max="18" width="22.1796875" bestFit="1" customWidth="1"/>
    <col min="19" max="19" width="15" bestFit="1" customWidth="1"/>
    <col min="20" max="20" width="10.81640625" bestFit="1" customWidth="1"/>
    <col min="21" max="21" width="10.7265625" customWidth="1"/>
    <col min="23" max="23" width="5.7265625" customWidth="1"/>
    <col min="24" max="24" width="27" customWidth="1"/>
    <col min="25" max="25" width="27.1796875" customWidth="1"/>
    <col min="26" max="26" width="32.36328125" customWidth="1"/>
    <col min="27" max="27" width="29.26953125" customWidth="1"/>
    <col min="28" max="28" width="29.453125" customWidth="1"/>
    <col min="30" max="30" width="4" customWidth="1"/>
    <col min="31" max="31" width="9.453125" customWidth="1"/>
    <col min="32" max="32" width="37.453125" customWidth="1"/>
    <col min="33" max="33" width="27.453125" customWidth="1"/>
    <col min="34" max="34" width="27.6328125" customWidth="1"/>
    <col min="35" max="35" width="32.81640625" customWidth="1"/>
    <col min="36" max="36" width="5.6328125" customWidth="1"/>
    <col min="37" max="37" width="31.54296875" customWidth="1"/>
  </cols>
  <sheetData>
    <row r="1" spans="2:39" ht="63" customHeight="1" x14ac:dyDescent="0.35">
      <c r="AC1" s="57"/>
      <c r="AD1" s="51"/>
      <c r="AE1" s="55"/>
      <c r="AF1" s="82" t="s">
        <v>1222</v>
      </c>
      <c r="AG1" s="83"/>
      <c r="AH1" s="83"/>
      <c r="AI1" s="83"/>
      <c r="AJ1" s="57"/>
      <c r="AK1" s="60"/>
    </row>
    <row r="2" spans="2:39" ht="40" customHeight="1" x14ac:dyDescent="0.35">
      <c r="H2" s="43"/>
      <c r="X2" s="36" t="s">
        <v>1065</v>
      </c>
      <c r="Y2" s="36" t="s">
        <v>1207</v>
      </c>
      <c r="Z2" s="36" t="s">
        <v>1209</v>
      </c>
      <c r="AC2" s="58"/>
      <c r="AD2" s="60"/>
      <c r="AE2" s="65"/>
      <c r="AF2" s="66" t="s">
        <v>1065</v>
      </c>
      <c r="AG2" s="50" t="s">
        <v>1210</v>
      </c>
      <c r="AH2" s="50" t="s">
        <v>1211</v>
      </c>
      <c r="AI2" s="71" t="s">
        <v>1212</v>
      </c>
      <c r="AJ2" s="51"/>
      <c r="AK2" s="56"/>
    </row>
    <row r="3" spans="2:39" ht="40" customHeight="1" x14ac:dyDescent="0.35">
      <c r="B3" s="36" t="s">
        <v>1065</v>
      </c>
      <c r="C3" s="36" t="s">
        <v>1180</v>
      </c>
      <c r="D3" s="36" t="s">
        <v>1167</v>
      </c>
      <c r="E3" s="36" t="s">
        <v>1181</v>
      </c>
      <c r="F3" s="36" t="s">
        <v>1185</v>
      </c>
      <c r="H3" s="36" t="s">
        <v>1065</v>
      </c>
      <c r="I3" s="31" t="s">
        <v>1205</v>
      </c>
      <c r="J3" s="31" t="s">
        <v>1164</v>
      </c>
      <c r="K3" s="31" t="s">
        <v>1165</v>
      </c>
      <c r="X3" s="12" t="s">
        <v>1076</v>
      </c>
      <c r="Y3" s="1">
        <v>20.7</v>
      </c>
      <c r="Z3" s="46">
        <v>1.4753689625240733</v>
      </c>
      <c r="AC3" s="58"/>
      <c r="AD3" s="52"/>
      <c r="AE3" s="59"/>
      <c r="AF3" s="67" t="s">
        <v>1076</v>
      </c>
      <c r="AG3" s="49">
        <v>1</v>
      </c>
      <c r="AH3" s="49">
        <v>2</v>
      </c>
      <c r="AI3" s="72">
        <v>3</v>
      </c>
      <c r="AJ3" s="62"/>
      <c r="AK3" s="60"/>
    </row>
    <row r="4" spans="2:39" ht="40" customHeight="1" x14ac:dyDescent="0.35">
      <c r="B4" s="37" t="s">
        <v>1076</v>
      </c>
      <c r="C4" s="37" t="str">
        <f>_xlfn.XLOOKUP(B4,'Analysis II'!M$4:M$17,'Analysis II'!N$4:N$17,0)</f>
        <v>A</v>
      </c>
      <c r="D4" s="37" t="str">
        <f>_xlfn.XLOOKUP(B4,'Analysis II'!M$4:M$17,'Analysis II'!O$4:O$17,0)</f>
        <v>F</v>
      </c>
      <c r="E4" s="37" t="s">
        <v>1182</v>
      </c>
      <c r="F4" s="37" t="s">
        <v>1186</v>
      </c>
      <c r="H4" s="37" t="s">
        <v>1076</v>
      </c>
      <c r="I4" s="33">
        <f>_xlfn.XLOOKUP(H4,'Analysis II'!D$23:D$36,'Analysis II'!F$23:F$36,0)</f>
        <v>20.7</v>
      </c>
      <c r="J4" s="32">
        <f>_xlfn.XLOOKUP(H4,'Analysis II'!D$23:D$36,'Analysis II'!G$23:G$36,0)</f>
        <v>124.2</v>
      </c>
      <c r="K4" s="32">
        <f>_xlfn.XLOOKUP(H4,'Analysis II'!D23:D36,'Analysis II'!H23:H36,0)</f>
        <v>207</v>
      </c>
      <c r="X4" s="12" t="s">
        <v>361</v>
      </c>
      <c r="Y4" s="1">
        <v>11.366666666666667</v>
      </c>
      <c r="Z4" s="46">
        <v>0.95914975148226955</v>
      </c>
      <c r="AB4" s="5" t="s">
        <v>1214</v>
      </c>
      <c r="AC4" s="58"/>
      <c r="AD4" s="52"/>
      <c r="AE4" s="68"/>
      <c r="AF4" s="63" t="s">
        <v>363</v>
      </c>
      <c r="AG4" s="49">
        <v>1</v>
      </c>
      <c r="AH4" s="49">
        <v>3</v>
      </c>
      <c r="AI4" s="72">
        <v>1</v>
      </c>
      <c r="AJ4" s="53"/>
      <c r="AK4" s="56"/>
    </row>
    <row r="5" spans="2:39" ht="40" customHeight="1" x14ac:dyDescent="0.35">
      <c r="B5" s="37" t="s">
        <v>363</v>
      </c>
      <c r="C5" s="37" t="str">
        <f>_xlfn.XLOOKUP(B5,'Analysis II'!M$4:M$17,'Analysis II'!N$4:N$17,0)</f>
        <v>C</v>
      </c>
      <c r="D5" s="37" t="str">
        <f>_xlfn.XLOOKUP(B5,'Analysis II'!M$4:M$17,'Analysis II'!O$4:O$17,0)</f>
        <v>N</v>
      </c>
      <c r="E5" s="37" t="s">
        <v>1183</v>
      </c>
      <c r="F5" s="37" t="s">
        <v>1187</v>
      </c>
      <c r="H5" s="37" t="s">
        <v>363</v>
      </c>
      <c r="I5" s="33">
        <f>_xlfn.XLOOKUP(H5,'Analysis II'!D$23:D$36,'Analysis II'!F$23:F$36,0)</f>
        <v>0.43333333333333335</v>
      </c>
      <c r="J5" s="32">
        <f>_xlfn.XLOOKUP(H5,'Analysis II'!D$23:D$36,'Analysis II'!G$23:G$36,0)</f>
        <v>2.6</v>
      </c>
      <c r="K5" s="32">
        <f>_xlfn.XLOOKUP(H5,'Analysis II'!D24:D37,'Analysis II'!H24:H37,0)</f>
        <v>4.3333333333333339</v>
      </c>
      <c r="X5" s="12" t="s">
        <v>365</v>
      </c>
      <c r="Y5" s="1">
        <v>8.8333333333333339</v>
      </c>
      <c r="Z5" s="46">
        <v>1.2828944790251571</v>
      </c>
      <c r="AB5" s="5" t="s">
        <v>1213</v>
      </c>
      <c r="AC5" s="58"/>
      <c r="AD5" s="52"/>
      <c r="AE5" s="69"/>
      <c r="AF5" s="63" t="s">
        <v>1077</v>
      </c>
      <c r="AG5" s="49">
        <v>1</v>
      </c>
      <c r="AH5" s="49">
        <v>2</v>
      </c>
      <c r="AI5" s="72">
        <v>3</v>
      </c>
      <c r="AJ5" s="61"/>
      <c r="AK5" s="60"/>
    </row>
    <row r="6" spans="2:39" ht="40" customHeight="1" x14ac:dyDescent="0.35">
      <c r="B6" s="37" t="s">
        <v>1077</v>
      </c>
      <c r="C6" s="37" t="str">
        <f>_xlfn.XLOOKUP(B6,'Analysis II'!M$4:M$17,'Analysis II'!N$4:N$17,0)</f>
        <v>A</v>
      </c>
      <c r="D6" s="37" t="str">
        <f>_xlfn.XLOOKUP(B6,'Analysis II'!M$4:M$17,'Analysis II'!O$4:O$17,0)</f>
        <v>S</v>
      </c>
      <c r="E6" s="37" t="s">
        <v>1184</v>
      </c>
      <c r="F6" s="37" t="s">
        <v>1188</v>
      </c>
      <c r="H6" s="37" t="s">
        <v>1077</v>
      </c>
      <c r="I6" s="33">
        <f>_xlfn.XLOOKUP(H6,'Analysis II'!D$23:D$36,'Analysis II'!F$23:F$36,0)</f>
        <v>6.1333333333333337</v>
      </c>
      <c r="J6" s="32">
        <f>_xlfn.XLOOKUP(H6,'Analysis II'!D$23:D$36,'Analysis II'!G$23:G$36,0)</f>
        <v>36.800000000000004</v>
      </c>
      <c r="K6" s="32">
        <f>_xlfn.XLOOKUP(H6,'Analysis II'!D25:D38,'Analysis II'!H25:H38,0)</f>
        <v>61.333333333333343</v>
      </c>
      <c r="X6" s="12" t="s">
        <v>368</v>
      </c>
      <c r="Y6" s="1">
        <v>8.5</v>
      </c>
      <c r="Z6" s="46">
        <v>1.109987632833068</v>
      </c>
      <c r="AB6" s="5" t="s">
        <v>1215</v>
      </c>
      <c r="AC6" s="58"/>
      <c r="AD6" s="52"/>
      <c r="AE6" s="69"/>
      <c r="AF6" s="63" t="s">
        <v>367</v>
      </c>
      <c r="AG6" s="49">
        <v>2</v>
      </c>
      <c r="AH6" s="49">
        <v>2</v>
      </c>
      <c r="AI6" s="72">
        <v>2</v>
      </c>
      <c r="AJ6" s="61"/>
      <c r="AK6" s="55"/>
    </row>
    <row r="7" spans="2:39" ht="40" customHeight="1" x14ac:dyDescent="0.35">
      <c r="B7" s="37" t="s">
        <v>367</v>
      </c>
      <c r="C7" s="37" t="str">
        <f>_xlfn.XLOOKUP(B7,'Analysis II'!M$4:M$17,'Analysis II'!N$4:N$17,0)</f>
        <v>B</v>
      </c>
      <c r="D7" s="37" t="str">
        <f>_xlfn.XLOOKUP(B7,'Analysis II'!M$4:M$17,'Analysis II'!O$4:O$17,0)</f>
        <v>F</v>
      </c>
      <c r="E7" s="37" t="s">
        <v>1182</v>
      </c>
      <c r="F7" s="37" t="s">
        <v>1186</v>
      </c>
      <c r="H7" s="37" t="s">
        <v>367</v>
      </c>
      <c r="I7" s="33">
        <f>_xlfn.XLOOKUP(H7,'Analysis II'!D$23:D$36,'Analysis II'!F$23:F$36,0)</f>
        <v>6.333333333333333</v>
      </c>
      <c r="J7" s="32">
        <f>_xlfn.XLOOKUP(H7,'Analysis II'!D$23:D$36,'Analysis II'!G$23:G$36,0)</f>
        <v>38</v>
      </c>
      <c r="K7" s="32">
        <f>_xlfn.XLOOKUP(H7,'Analysis II'!D26:D39,'Analysis II'!H26:H39,0)</f>
        <v>63.333333333333329</v>
      </c>
      <c r="X7" s="12" t="s">
        <v>367</v>
      </c>
      <c r="Y7" s="1">
        <v>6.333333333333333</v>
      </c>
      <c r="Z7" s="46">
        <v>1.2176465417282114</v>
      </c>
      <c r="AC7" s="58"/>
      <c r="AD7" s="52"/>
      <c r="AE7" s="69"/>
      <c r="AF7" s="63" t="s">
        <v>366</v>
      </c>
      <c r="AG7" s="49">
        <v>1</v>
      </c>
      <c r="AH7" s="49">
        <v>3</v>
      </c>
      <c r="AI7" s="72">
        <v>1</v>
      </c>
      <c r="AJ7" s="61"/>
      <c r="AK7" s="55"/>
    </row>
    <row r="8" spans="2:39" ht="40" customHeight="1" x14ac:dyDescent="0.35">
      <c r="B8" s="37" t="s">
        <v>366</v>
      </c>
      <c r="C8" s="37" t="str">
        <f>_xlfn.XLOOKUP(B8,'Analysis II'!M$4:M$17,'Analysis II'!N$4:N$17,0)</f>
        <v>C</v>
      </c>
      <c r="D8" s="37" t="str">
        <f>_xlfn.XLOOKUP(B8,'Analysis II'!M$4:M$17,'Analysis II'!O$4:O$17,0)</f>
        <v>N</v>
      </c>
      <c r="E8" s="37" t="s">
        <v>1183</v>
      </c>
      <c r="F8" s="37" t="s">
        <v>1187</v>
      </c>
      <c r="H8" s="37" t="s">
        <v>366</v>
      </c>
      <c r="I8" s="33">
        <f>_xlfn.XLOOKUP(H8,'Analysis II'!D$23:D$36,'Analysis II'!F$23:F$36,0)</f>
        <v>1.7666666666666666</v>
      </c>
      <c r="J8" s="32">
        <f>_xlfn.XLOOKUP(H8,'Analysis II'!D$23:D$36,'Analysis II'!G$23:G$36,0)</f>
        <v>10.600000000000001</v>
      </c>
      <c r="K8" s="32">
        <f>_xlfn.XLOOKUP(H8,'Analysis II'!D27:D40,'Analysis II'!H27:H40,0)</f>
        <v>17.666666666666668</v>
      </c>
      <c r="X8" s="12" t="s">
        <v>1077</v>
      </c>
      <c r="Y8" s="1">
        <v>6.1333333333333337</v>
      </c>
      <c r="Z8" s="46">
        <v>1.2009728961424386</v>
      </c>
      <c r="AB8" s="5" t="s">
        <v>1216</v>
      </c>
      <c r="AC8" s="58"/>
      <c r="AD8" s="52"/>
      <c r="AE8" s="69"/>
      <c r="AF8" s="63" t="s">
        <v>364</v>
      </c>
      <c r="AG8" s="49">
        <v>2</v>
      </c>
      <c r="AH8" s="49">
        <v>2</v>
      </c>
      <c r="AI8" s="72">
        <v>2</v>
      </c>
      <c r="AJ8" s="51"/>
      <c r="AK8" s="55"/>
    </row>
    <row r="9" spans="2:39" ht="40" customHeight="1" x14ac:dyDescent="0.35">
      <c r="B9" s="37" t="s">
        <v>364</v>
      </c>
      <c r="C9" s="37" t="str">
        <f>_xlfn.XLOOKUP(B9,'Analysis II'!M$4:M$17,'Analysis II'!N$4:N$17,0)</f>
        <v>B</v>
      </c>
      <c r="D9" s="37" t="str">
        <f>_xlfn.XLOOKUP(B9,'Analysis II'!M$4:M$17,'Analysis II'!O$4:O$17,0)</f>
        <v>S</v>
      </c>
      <c r="E9" s="37" t="s">
        <v>1184</v>
      </c>
      <c r="F9" s="37" t="s">
        <v>1188</v>
      </c>
      <c r="H9" s="37" t="s">
        <v>364</v>
      </c>
      <c r="I9" s="33">
        <f>_xlfn.XLOOKUP(H9,'Analysis II'!D$23:D$36,'Analysis II'!F$23:F$36,0)</f>
        <v>3.0333333333333332</v>
      </c>
      <c r="J9" s="32">
        <f>_xlfn.XLOOKUP(H9,'Analysis II'!D$23:D$36,'Analysis II'!G$23:G$36,0)</f>
        <v>18.2</v>
      </c>
      <c r="K9" s="32">
        <f>_xlfn.XLOOKUP(H9,'Analysis II'!D28:D41,'Analysis II'!H28:H41,0)</f>
        <v>30.333333333333332</v>
      </c>
      <c r="X9" s="12" t="s">
        <v>1075</v>
      </c>
      <c r="Y9" s="1">
        <v>3.9666666666666668</v>
      </c>
      <c r="Z9" s="46">
        <v>1.9170679625443092</v>
      </c>
      <c r="AB9" s="48" t="s">
        <v>1217</v>
      </c>
      <c r="AC9" s="58"/>
      <c r="AD9" s="52"/>
      <c r="AE9" s="69"/>
      <c r="AF9" s="63" t="s">
        <v>369</v>
      </c>
      <c r="AG9" s="49">
        <v>1</v>
      </c>
      <c r="AH9" s="49">
        <v>3</v>
      </c>
      <c r="AI9" s="72">
        <v>1</v>
      </c>
      <c r="AJ9" s="61"/>
      <c r="AK9" s="60"/>
      <c r="AM9" s="76"/>
    </row>
    <row r="10" spans="2:39" ht="40" customHeight="1" x14ac:dyDescent="0.35">
      <c r="B10" s="37" t="s">
        <v>369</v>
      </c>
      <c r="C10" s="37" t="str">
        <f>_xlfn.XLOOKUP(B10,'Analysis II'!M$4:M$17,'Analysis II'!N$4:N$17,0)</f>
        <v>C</v>
      </c>
      <c r="D10" s="37" t="str">
        <f>_xlfn.XLOOKUP(B10,'Analysis II'!M$4:M$17,'Analysis II'!O$4:O$17,0)</f>
        <v>N</v>
      </c>
      <c r="E10" s="37" t="s">
        <v>1183</v>
      </c>
      <c r="F10" s="37" t="s">
        <v>1187</v>
      </c>
      <c r="H10" s="37" t="s">
        <v>369</v>
      </c>
      <c r="I10" s="33">
        <f>_xlfn.XLOOKUP(H10,'Analysis II'!D$23:D$36,'Analysis II'!F$23:F$36,0)</f>
        <v>0.76666666666666672</v>
      </c>
      <c r="J10" s="32">
        <f>_xlfn.XLOOKUP(H10,'Analysis II'!D$23:D$36,'Analysis II'!G$23:G$36,0)</f>
        <v>4.6000000000000005</v>
      </c>
      <c r="K10" s="32">
        <f>_xlfn.XLOOKUP(H10,'Analysis II'!D29:D42,'Analysis II'!H29:H42,0)</f>
        <v>7.6666666666666679</v>
      </c>
      <c r="X10" s="12" t="s">
        <v>362</v>
      </c>
      <c r="Y10" s="1">
        <v>3.7</v>
      </c>
      <c r="Z10" s="46">
        <v>2.4341404379256342</v>
      </c>
      <c r="AB10" s="48" t="s">
        <v>1218</v>
      </c>
      <c r="AC10" s="59"/>
      <c r="AD10" s="53"/>
      <c r="AE10" s="70"/>
      <c r="AF10" s="63" t="s">
        <v>1075</v>
      </c>
      <c r="AG10" s="49">
        <v>1</v>
      </c>
      <c r="AH10" s="49">
        <v>2</v>
      </c>
      <c r="AI10" s="72">
        <v>2</v>
      </c>
      <c r="AK10" s="77"/>
    </row>
    <row r="11" spans="2:39" ht="40" customHeight="1" x14ac:dyDescent="0.35">
      <c r="B11" s="37" t="s">
        <v>1075</v>
      </c>
      <c r="C11" s="37" t="str">
        <f>_xlfn.XLOOKUP(B11,'Analysis II'!M$4:M$17,'Analysis II'!N$4:N$17,0)</f>
        <v>B</v>
      </c>
      <c r="D11" s="37" t="str">
        <f>_xlfn.XLOOKUP(B11,'Analysis II'!M$4:M$17,'Analysis II'!O$4:O$17,0)</f>
        <v>S</v>
      </c>
      <c r="E11" s="37" t="s">
        <v>1184</v>
      </c>
      <c r="F11" s="37" t="s">
        <v>1188</v>
      </c>
      <c r="H11" s="37" t="s">
        <v>1075</v>
      </c>
      <c r="I11" s="33">
        <f>_xlfn.XLOOKUP(H11,'Analysis II'!D$23:D$36,'Analysis II'!F$23:F$36,0)</f>
        <v>3.9666666666666668</v>
      </c>
      <c r="J11" s="32">
        <f>_xlfn.XLOOKUP(H11,'Analysis II'!D$23:D$36,'Analysis II'!G$23:G$36,0)</f>
        <v>23.8</v>
      </c>
      <c r="K11" s="32">
        <f>_xlfn.XLOOKUP(H11,'Analysis II'!D30:D43,'Analysis II'!H30:H43,0)</f>
        <v>40</v>
      </c>
      <c r="X11" s="12" t="s">
        <v>364</v>
      </c>
      <c r="Y11" s="1">
        <v>3.0333333333333332</v>
      </c>
      <c r="Z11" s="46">
        <v>1.490719744287351</v>
      </c>
      <c r="AB11" s="47"/>
      <c r="AD11" s="52"/>
      <c r="AE11" s="68"/>
      <c r="AF11" s="63" t="s">
        <v>360</v>
      </c>
      <c r="AG11" s="49">
        <v>3</v>
      </c>
      <c r="AH11" s="49">
        <v>3</v>
      </c>
      <c r="AI11" s="72">
        <v>1</v>
      </c>
      <c r="AJ11" s="62"/>
      <c r="AK11" s="78" t="s">
        <v>1223</v>
      </c>
    </row>
    <row r="12" spans="2:39" ht="40" customHeight="1" x14ac:dyDescent="0.35">
      <c r="B12" s="37" t="s">
        <v>360</v>
      </c>
      <c r="C12" s="37" t="str">
        <f>_xlfn.XLOOKUP(B12,'Analysis II'!M$4:M$17,'Analysis II'!N$4:N$17,0)</f>
        <v>C</v>
      </c>
      <c r="D12" s="37" t="str">
        <f>_xlfn.XLOOKUP(B12,'Analysis II'!M$4:M$17,'Analysis II'!O$4:O$17,0)</f>
        <v>N</v>
      </c>
      <c r="E12" s="37" t="s">
        <v>1183</v>
      </c>
      <c r="F12" s="37" t="s">
        <v>1187</v>
      </c>
      <c r="H12" s="37" t="s">
        <v>360</v>
      </c>
      <c r="I12" s="33">
        <f>_xlfn.XLOOKUP(H12,'Analysis II'!D$23:D$36,'Analysis II'!F$23:F$36,0)</f>
        <v>0.5</v>
      </c>
      <c r="J12" s="32">
        <f>_xlfn.XLOOKUP(H12,'Analysis II'!D$23:D$36,'Analysis II'!G$23:G$36,0)</f>
        <v>3</v>
      </c>
      <c r="K12" s="32">
        <f>_xlfn.XLOOKUP(H12,'Analysis II'!D31:D44,'Analysis II'!H31:H44,0)</f>
        <v>5</v>
      </c>
      <c r="X12" s="12" t="s">
        <v>366</v>
      </c>
      <c r="Y12" s="1">
        <v>1.7666666666666666</v>
      </c>
      <c r="Z12" s="46">
        <v>2.3109190627268648</v>
      </c>
      <c r="AB12" s="48" t="s">
        <v>1219</v>
      </c>
      <c r="AD12" s="52"/>
      <c r="AE12" s="69"/>
      <c r="AF12" s="63" t="s">
        <v>365</v>
      </c>
      <c r="AG12" s="49">
        <v>3</v>
      </c>
      <c r="AH12" s="49">
        <v>2</v>
      </c>
      <c r="AI12" s="72">
        <v>3</v>
      </c>
      <c r="AJ12" s="64"/>
      <c r="AK12" s="79" t="s">
        <v>1224</v>
      </c>
    </row>
    <row r="13" spans="2:39" ht="40" customHeight="1" x14ac:dyDescent="0.35">
      <c r="B13" s="37" t="s">
        <v>365</v>
      </c>
      <c r="C13" s="37" t="str">
        <f>_xlfn.XLOOKUP(B13,'Analysis II'!M$4:M$17,'Analysis II'!N$4:N$17,0)</f>
        <v>A</v>
      </c>
      <c r="D13" s="37" t="str">
        <f>_xlfn.XLOOKUP(B13,'Analysis II'!M$4:M$17,'Analysis II'!O$4:O$17,0)</f>
        <v>F</v>
      </c>
      <c r="E13" s="37" t="s">
        <v>1182</v>
      </c>
      <c r="F13" s="37" t="s">
        <v>1186</v>
      </c>
      <c r="H13" s="37" t="s">
        <v>365</v>
      </c>
      <c r="I13" s="33">
        <f>_xlfn.XLOOKUP(H13,'Analysis II'!D$23:D$36,'Analysis II'!F$23:F$36,0)</f>
        <v>8.8333333333333339</v>
      </c>
      <c r="J13" s="32">
        <f>_xlfn.XLOOKUP(H13,'Analysis II'!D$23:D$36,'Analysis II'!G$23:G$36,0)</f>
        <v>53</v>
      </c>
      <c r="K13" s="32">
        <f>_xlfn.XLOOKUP(H13,'Analysis II'!D32:D45,'Analysis II'!H32:H45,0)</f>
        <v>88.333333333333343</v>
      </c>
      <c r="X13" s="12" t="s">
        <v>369</v>
      </c>
      <c r="Y13" s="1">
        <v>0.76666666666666672</v>
      </c>
      <c r="Z13" s="46">
        <v>2.1027327242707412</v>
      </c>
      <c r="AB13" s="48" t="s">
        <v>1220</v>
      </c>
      <c r="AD13" s="52"/>
      <c r="AE13" s="69"/>
      <c r="AF13" s="63" t="s">
        <v>362</v>
      </c>
      <c r="AG13" s="49">
        <v>1</v>
      </c>
      <c r="AH13" s="49">
        <v>3</v>
      </c>
      <c r="AI13" s="72">
        <v>1</v>
      </c>
      <c r="AJ13" s="64"/>
      <c r="AK13" s="80" t="s">
        <v>1225</v>
      </c>
    </row>
    <row r="14" spans="2:39" ht="40" customHeight="1" x14ac:dyDescent="0.35">
      <c r="B14" s="37" t="s">
        <v>362</v>
      </c>
      <c r="C14" s="37" t="str">
        <f>_xlfn.XLOOKUP(B14,'Analysis II'!M$4:M$17,'Analysis II'!N$4:N$17,0)</f>
        <v>C</v>
      </c>
      <c r="D14" s="37" t="str">
        <f>_xlfn.XLOOKUP(B14,'Analysis II'!M$4:M$17,'Analysis II'!O$4:O$17,0)</f>
        <v>S</v>
      </c>
      <c r="E14" s="37" t="s">
        <v>1183</v>
      </c>
      <c r="F14" s="37" t="s">
        <v>1187</v>
      </c>
      <c r="H14" s="37" t="s">
        <v>362</v>
      </c>
      <c r="I14" s="33">
        <f>_xlfn.XLOOKUP(H14,'Analysis II'!D$23:D$36,'Analysis II'!F$23:F$36,0)</f>
        <v>3.7</v>
      </c>
      <c r="J14" s="32">
        <f>_xlfn.XLOOKUP(H14,'Analysis II'!D$23:D$36,'Analysis II'!G$23:G$36,0)</f>
        <v>22.200000000000003</v>
      </c>
      <c r="K14" s="32">
        <f>_xlfn.XLOOKUP(H14,'Analysis II'!D33:D46,'Analysis II'!H33:H46,0)</f>
        <v>37</v>
      </c>
      <c r="X14" s="12" t="s">
        <v>359</v>
      </c>
      <c r="Y14" s="1">
        <v>0.7</v>
      </c>
      <c r="Z14" s="46">
        <v>1.76565083502301</v>
      </c>
      <c r="AB14" s="48" t="s">
        <v>1221</v>
      </c>
      <c r="AD14" s="52"/>
      <c r="AE14" s="68"/>
      <c r="AF14" s="63" t="s">
        <v>361</v>
      </c>
      <c r="AG14" s="49">
        <v>3</v>
      </c>
      <c r="AH14" s="49">
        <v>1</v>
      </c>
      <c r="AI14" s="72">
        <v>3</v>
      </c>
      <c r="AJ14" s="61"/>
      <c r="AK14" s="56"/>
    </row>
    <row r="15" spans="2:39" ht="40" customHeight="1" x14ac:dyDescent="0.35">
      <c r="B15" s="37" t="s">
        <v>361</v>
      </c>
      <c r="C15" s="37" t="str">
        <f>_xlfn.XLOOKUP(B15,'Analysis II'!M$4:M$17,'Analysis II'!N$4:N$17,0)</f>
        <v>A</v>
      </c>
      <c r="D15" s="37" t="str">
        <f>_xlfn.XLOOKUP(B15,'Analysis II'!M$4:M$17,'Analysis II'!O$4:O$17,0)</f>
        <v>F</v>
      </c>
      <c r="E15" s="37" t="s">
        <v>1182</v>
      </c>
      <c r="F15" s="37" t="s">
        <v>1186</v>
      </c>
      <c r="H15" s="37" t="s">
        <v>361</v>
      </c>
      <c r="I15" s="33">
        <f>_xlfn.XLOOKUP(H15,'Analysis II'!D$23:D$36,'Analysis II'!F$23:F$36,0)</f>
        <v>11.366666666666667</v>
      </c>
      <c r="J15" s="32">
        <f>_xlfn.XLOOKUP(H15,'Analysis II'!D$23:D$36,'Analysis II'!G$23:G$36,0)</f>
        <v>68.2</v>
      </c>
      <c r="K15" s="32">
        <f>_xlfn.XLOOKUP(H15,'Analysis II'!D34:D47,'Analysis II'!H34:H47,0)</f>
        <v>113.66666666666667</v>
      </c>
      <c r="X15" s="12" t="s">
        <v>360</v>
      </c>
      <c r="Y15" s="1">
        <v>0.5</v>
      </c>
      <c r="Z15" s="46">
        <v>4.4178322036164239</v>
      </c>
      <c r="AD15" s="55"/>
      <c r="AE15" s="70"/>
      <c r="AF15" s="63" t="s">
        <v>359</v>
      </c>
      <c r="AG15" s="49">
        <v>2</v>
      </c>
      <c r="AH15" s="49">
        <v>2</v>
      </c>
      <c r="AI15" s="72">
        <v>2</v>
      </c>
      <c r="AK15" s="60"/>
    </row>
    <row r="16" spans="2:39" ht="40" customHeight="1" x14ac:dyDescent="0.35">
      <c r="B16" s="37" t="s">
        <v>359</v>
      </c>
      <c r="C16" s="37" t="str">
        <f>_xlfn.XLOOKUP(B16,'Analysis II'!M$4:M$17,'Analysis II'!N$4:N$17,0)</f>
        <v>B</v>
      </c>
      <c r="D16" s="37" t="str">
        <f>_xlfn.XLOOKUP(B16,'Analysis II'!M$4:M$17,'Analysis II'!O$4:O$17,0)</f>
        <v>N</v>
      </c>
      <c r="E16" s="37" t="s">
        <v>1183</v>
      </c>
      <c r="F16" s="37" t="s">
        <v>1187</v>
      </c>
      <c r="H16" s="37" t="s">
        <v>359</v>
      </c>
      <c r="I16" s="33">
        <f>_xlfn.XLOOKUP(H16,'Analysis II'!D$23:D$36,'Analysis II'!F$23:F$36,0)</f>
        <v>0.7</v>
      </c>
      <c r="J16" s="32">
        <f>_xlfn.XLOOKUP(H16,'Analysis II'!D$23:D$36,'Analysis II'!G$23:G$36,0)</f>
        <v>4.2</v>
      </c>
      <c r="K16" s="32">
        <f>_xlfn.XLOOKUP(H16,'Analysis II'!D35:D48,'Analysis II'!H35:H48,0)</f>
        <v>7</v>
      </c>
      <c r="X16" s="12" t="s">
        <v>363</v>
      </c>
      <c r="Y16" s="1">
        <v>0.43333333333333335</v>
      </c>
      <c r="Z16" s="46">
        <v>2.475342593441797</v>
      </c>
      <c r="AD16" s="54"/>
      <c r="AF16" s="73" t="s">
        <v>368</v>
      </c>
      <c r="AG16" s="74">
        <v>1</v>
      </c>
      <c r="AH16" s="74">
        <v>1</v>
      </c>
      <c r="AI16" s="75">
        <v>3</v>
      </c>
      <c r="AJ16" s="61"/>
      <c r="AK16" s="60"/>
    </row>
    <row r="17" spans="2:37" x14ac:dyDescent="0.35">
      <c r="B17" s="37" t="s">
        <v>368</v>
      </c>
      <c r="C17" s="37" t="str">
        <f>_xlfn.XLOOKUP(B17,'Analysis II'!M$4:M$17,'Analysis II'!N$4:N$17,0)</f>
        <v>A</v>
      </c>
      <c r="D17" s="37" t="str">
        <f>_xlfn.XLOOKUP(B17,'Analysis II'!M$4:M$17,'Analysis II'!O$4:O$17,0)</f>
        <v>F</v>
      </c>
      <c r="E17" s="37" t="s">
        <v>1182</v>
      </c>
      <c r="F17" s="37" t="s">
        <v>1186</v>
      </c>
      <c r="H17" s="37" t="s">
        <v>368</v>
      </c>
      <c r="I17" s="33">
        <f>_xlfn.XLOOKUP(H17,'Analysis II'!D$23:D$36,'Analysis II'!F$23:F$36,0)</f>
        <v>8.5</v>
      </c>
      <c r="J17" s="32">
        <f>_xlfn.XLOOKUP(H17,'Analysis II'!D$23:D$36,'Analysis II'!G$23:G$36,0)</f>
        <v>51</v>
      </c>
      <c r="K17" s="32">
        <f>_xlfn.XLOOKUP(H17,'Analysis II'!D36:D49,'Analysis II'!H36:H49,0)</f>
        <v>85</v>
      </c>
      <c r="AD17" s="57"/>
      <c r="AE17" s="55"/>
      <c r="AF17" s="52"/>
      <c r="AH17" s="54"/>
      <c r="AI17" s="64"/>
      <c r="AJ17" s="55"/>
      <c r="AK17" s="65"/>
    </row>
    <row r="18" spans="2:37" x14ac:dyDescent="0.35">
      <c r="AD18" s="59"/>
      <c r="AE18" s="60"/>
      <c r="AF18" s="61"/>
      <c r="AG18" s="61"/>
      <c r="AH18" s="56"/>
      <c r="AJ18" s="60"/>
      <c r="AK18" s="61"/>
    </row>
    <row r="19" spans="2:37" x14ac:dyDescent="0.35">
      <c r="AE19" s="54"/>
      <c r="AF19" s="52"/>
    </row>
    <row r="20" spans="2:37" x14ac:dyDescent="0.35">
      <c r="AE20" s="58"/>
      <c r="AF20" s="52"/>
    </row>
    <row r="21" spans="2:37" x14ac:dyDescent="0.35">
      <c r="D21" s="10" t="s">
        <v>1074</v>
      </c>
      <c r="E21" s="10" t="s">
        <v>1206</v>
      </c>
      <c r="AE21" s="58"/>
      <c r="AF21" s="52"/>
    </row>
    <row r="22" spans="2:37" x14ac:dyDescent="0.35">
      <c r="D22" s="10" t="s">
        <v>1067</v>
      </c>
      <c r="E22" t="s">
        <v>1076</v>
      </c>
      <c r="F22" t="s">
        <v>363</v>
      </c>
      <c r="G22" t="s">
        <v>1077</v>
      </c>
      <c r="H22" t="s">
        <v>367</v>
      </c>
      <c r="I22" t="s">
        <v>366</v>
      </c>
      <c r="J22" t="s">
        <v>364</v>
      </c>
      <c r="K22" t="s">
        <v>369</v>
      </c>
      <c r="L22" t="s">
        <v>1075</v>
      </c>
      <c r="M22" t="s">
        <v>360</v>
      </c>
      <c r="N22" t="s">
        <v>365</v>
      </c>
      <c r="O22" t="s">
        <v>362</v>
      </c>
      <c r="P22" t="s">
        <v>361</v>
      </c>
      <c r="Q22" t="s">
        <v>359</v>
      </c>
      <c r="R22" t="s">
        <v>368</v>
      </c>
      <c r="S22" t="s">
        <v>1068</v>
      </c>
      <c r="X22" s="30" t="s">
        <v>1065</v>
      </c>
      <c r="Y22" s="30" t="s">
        <v>1208</v>
      </c>
      <c r="AE22" s="58"/>
      <c r="AF22" s="52"/>
    </row>
    <row r="23" spans="2:37" x14ac:dyDescent="0.35">
      <c r="D23" s="11">
        <v>45931</v>
      </c>
      <c r="E23">
        <v>56</v>
      </c>
      <c r="G23">
        <v>1</v>
      </c>
      <c r="H23">
        <v>13</v>
      </c>
      <c r="I23">
        <v>1</v>
      </c>
      <c r="L23">
        <v>14</v>
      </c>
      <c r="P23">
        <v>12</v>
      </c>
      <c r="S23">
        <v>97</v>
      </c>
      <c r="X23" s="12" t="s">
        <v>1076</v>
      </c>
      <c r="Y23" s="1">
        <f t="array" ref="Y23">_xlfn.STDEV.S(IF(E23:E52="",0,E23:E52))</f>
        <v>30.540137524248316</v>
      </c>
      <c r="AA23" s="46"/>
      <c r="AE23" s="58"/>
      <c r="AF23" s="52"/>
    </row>
    <row r="24" spans="2:37" x14ac:dyDescent="0.35">
      <c r="D24" s="11">
        <v>45932</v>
      </c>
      <c r="E24">
        <v>16</v>
      </c>
      <c r="F24">
        <v>2</v>
      </c>
      <c r="G24">
        <v>10</v>
      </c>
      <c r="H24">
        <v>8</v>
      </c>
      <c r="I24">
        <v>1</v>
      </c>
      <c r="J24">
        <v>5</v>
      </c>
      <c r="L24">
        <v>1</v>
      </c>
      <c r="N24">
        <v>22</v>
      </c>
      <c r="O24">
        <v>5</v>
      </c>
      <c r="P24">
        <v>17</v>
      </c>
      <c r="Q24">
        <v>3</v>
      </c>
      <c r="R24">
        <v>3</v>
      </c>
      <c r="S24">
        <v>93</v>
      </c>
      <c r="X24" s="12" t="s">
        <v>361</v>
      </c>
      <c r="Y24" s="1">
        <f t="array" ref="Y24">_xlfn.STDEV.S(IF(P23:P52="",0,P23:P52))</f>
        <v>10.902335508515131</v>
      </c>
      <c r="AA24" s="46"/>
      <c r="AE24" s="58"/>
      <c r="AF24" s="52"/>
    </row>
    <row r="25" spans="2:37" x14ac:dyDescent="0.35">
      <c r="D25" s="11">
        <v>45933</v>
      </c>
      <c r="E25">
        <v>18</v>
      </c>
      <c r="F25">
        <v>2</v>
      </c>
      <c r="G25">
        <v>11</v>
      </c>
      <c r="H25">
        <v>11</v>
      </c>
      <c r="L25">
        <v>8</v>
      </c>
      <c r="O25">
        <v>10</v>
      </c>
      <c r="P25">
        <v>26</v>
      </c>
      <c r="R25">
        <v>29</v>
      </c>
      <c r="S25">
        <v>115</v>
      </c>
      <c r="X25" s="12" t="s">
        <v>365</v>
      </c>
      <c r="Y25" s="1">
        <f t="array" ref="Y25">_xlfn.STDEV.S(IF(N23:N52="",0,N23:N52))</f>
        <v>11.332234564722222</v>
      </c>
      <c r="AA25" s="46"/>
      <c r="AE25" s="58"/>
      <c r="AF25" s="52"/>
    </row>
    <row r="26" spans="2:37" x14ac:dyDescent="0.35">
      <c r="D26" s="11">
        <v>45934</v>
      </c>
      <c r="E26">
        <v>4</v>
      </c>
      <c r="F26">
        <v>2</v>
      </c>
      <c r="G26">
        <v>2</v>
      </c>
      <c r="H26">
        <v>2</v>
      </c>
      <c r="L26">
        <v>1</v>
      </c>
      <c r="N26">
        <v>26</v>
      </c>
      <c r="P26">
        <v>7</v>
      </c>
      <c r="R26">
        <v>14</v>
      </c>
      <c r="S26">
        <v>58</v>
      </c>
      <c r="X26" s="12" t="s">
        <v>368</v>
      </c>
      <c r="Y26" s="1">
        <f t="array" ref="Y26">_xlfn.STDEV.S(IF(R23:R52="",0,R23:R52))</f>
        <v>9.434894879081078</v>
      </c>
      <c r="AA26" s="46"/>
      <c r="AE26" s="58"/>
      <c r="AF26" s="52"/>
    </row>
    <row r="27" spans="2:37" x14ac:dyDescent="0.35">
      <c r="D27" s="11">
        <v>45935</v>
      </c>
      <c r="E27">
        <v>158</v>
      </c>
      <c r="H27">
        <v>11</v>
      </c>
      <c r="I27">
        <v>10</v>
      </c>
      <c r="K27">
        <v>1</v>
      </c>
      <c r="L27">
        <v>38</v>
      </c>
      <c r="N27">
        <v>49</v>
      </c>
      <c r="P27">
        <v>1</v>
      </c>
      <c r="S27">
        <v>268</v>
      </c>
      <c r="X27" s="12" t="s">
        <v>367</v>
      </c>
      <c r="Y27" s="1">
        <f t="array" ref="Y27">_xlfn.STDEV.S(IF(H23:H52="",0,H23:H52))</f>
        <v>7.7117614309453391</v>
      </c>
      <c r="AA27" s="46"/>
      <c r="AE27" s="58"/>
      <c r="AF27" s="52"/>
    </row>
    <row r="28" spans="2:37" x14ac:dyDescent="0.35">
      <c r="D28" s="11">
        <v>45936</v>
      </c>
      <c r="E28">
        <v>17</v>
      </c>
      <c r="G28">
        <v>5</v>
      </c>
      <c r="H28">
        <v>12</v>
      </c>
      <c r="J28">
        <v>1</v>
      </c>
      <c r="L28">
        <v>11</v>
      </c>
      <c r="N28">
        <v>16</v>
      </c>
      <c r="O28">
        <v>30</v>
      </c>
      <c r="P28">
        <v>18</v>
      </c>
      <c r="R28">
        <v>9</v>
      </c>
      <c r="S28">
        <v>119</v>
      </c>
      <c r="X28" s="12" t="s">
        <v>1077</v>
      </c>
      <c r="Y28" s="1">
        <f t="array" ref="Y28">_xlfn.STDEV.S(IF(G23:G52="",0,G23:G52))</f>
        <v>7.3659670963402908</v>
      </c>
      <c r="AA28" s="46"/>
      <c r="AE28" s="58"/>
      <c r="AF28" s="52"/>
    </row>
    <row r="29" spans="2:37" x14ac:dyDescent="0.35">
      <c r="D29" s="11">
        <v>45937</v>
      </c>
      <c r="E29">
        <v>5</v>
      </c>
      <c r="G29">
        <v>2</v>
      </c>
      <c r="H29">
        <v>3</v>
      </c>
      <c r="I29">
        <v>17</v>
      </c>
      <c r="J29">
        <v>3</v>
      </c>
      <c r="M29">
        <v>2</v>
      </c>
      <c r="N29">
        <v>15</v>
      </c>
      <c r="P29">
        <v>2</v>
      </c>
      <c r="R29">
        <v>25</v>
      </c>
      <c r="S29">
        <v>74</v>
      </c>
      <c r="X29" s="12" t="s">
        <v>1075</v>
      </c>
      <c r="Y29" s="1">
        <f t="array" ref="Y29">_xlfn.STDEV.S(IF(L23:L52="",0,L23:L52))</f>
        <v>7.6043695847590937</v>
      </c>
      <c r="AA29" s="46"/>
      <c r="AE29" s="58"/>
      <c r="AF29" s="52"/>
    </row>
    <row r="30" spans="2:37" x14ac:dyDescent="0.35">
      <c r="D30" s="11">
        <v>45938</v>
      </c>
      <c r="E30">
        <v>30</v>
      </c>
      <c r="G30">
        <v>17</v>
      </c>
      <c r="H30">
        <v>20</v>
      </c>
      <c r="J30">
        <v>19</v>
      </c>
      <c r="K30">
        <v>6</v>
      </c>
      <c r="L30">
        <v>7</v>
      </c>
      <c r="N30">
        <v>18</v>
      </c>
      <c r="O30">
        <v>1</v>
      </c>
      <c r="P30">
        <v>3</v>
      </c>
      <c r="R30">
        <v>5</v>
      </c>
      <c r="S30">
        <v>126</v>
      </c>
      <c r="X30" s="12" t="s">
        <v>362</v>
      </c>
      <c r="Y30" s="1">
        <f t="array" ref="Y30">_xlfn.STDEV.S(IF(O23:O52="",0,O23:O52))</f>
        <v>9.006319620324847</v>
      </c>
      <c r="AA30" s="46"/>
      <c r="AE30" s="58"/>
      <c r="AF30" s="52"/>
    </row>
    <row r="31" spans="2:37" x14ac:dyDescent="0.35">
      <c r="D31" s="11">
        <v>45939</v>
      </c>
      <c r="E31">
        <v>14</v>
      </c>
      <c r="H31">
        <v>6</v>
      </c>
      <c r="I31">
        <v>1</v>
      </c>
      <c r="L31">
        <v>7</v>
      </c>
      <c r="M31">
        <v>12</v>
      </c>
      <c r="P31">
        <v>8</v>
      </c>
      <c r="S31">
        <v>48</v>
      </c>
      <c r="X31" s="12" t="s">
        <v>364</v>
      </c>
      <c r="Y31" s="1">
        <f t="array" ref="Y31">_xlfn.STDEV.S(IF(J23:J52="",0,J23:J52))</f>
        <v>4.5218498910049645</v>
      </c>
      <c r="AA31" s="46"/>
      <c r="AE31" s="58"/>
      <c r="AF31" s="52"/>
    </row>
    <row r="32" spans="2:37" x14ac:dyDescent="0.35">
      <c r="D32" s="11">
        <v>45940</v>
      </c>
      <c r="G32">
        <v>13</v>
      </c>
      <c r="L32">
        <v>1</v>
      </c>
      <c r="N32">
        <v>2</v>
      </c>
      <c r="O32">
        <v>16</v>
      </c>
      <c r="P32">
        <v>18</v>
      </c>
      <c r="Q32">
        <v>2</v>
      </c>
      <c r="S32">
        <v>52</v>
      </c>
      <c r="X32" s="12" t="s">
        <v>366</v>
      </c>
      <c r="Y32" s="1">
        <f t="array" ref="Y32">_xlfn.STDEV.S(IF(I23:I52="",0,I23:I52))</f>
        <v>4.0826236774841274</v>
      </c>
      <c r="AA32" s="46"/>
      <c r="AE32" s="58"/>
      <c r="AF32" s="52"/>
    </row>
    <row r="33" spans="4:32" x14ac:dyDescent="0.35">
      <c r="D33" s="11">
        <v>45941</v>
      </c>
      <c r="E33">
        <v>7</v>
      </c>
      <c r="G33">
        <v>2</v>
      </c>
      <c r="H33">
        <v>8</v>
      </c>
      <c r="I33">
        <v>1</v>
      </c>
      <c r="J33">
        <v>1</v>
      </c>
      <c r="L33">
        <v>1</v>
      </c>
      <c r="N33">
        <v>1</v>
      </c>
      <c r="O33">
        <v>1</v>
      </c>
      <c r="P33">
        <v>5</v>
      </c>
      <c r="R33">
        <v>10</v>
      </c>
      <c r="S33">
        <v>37</v>
      </c>
      <c r="X33" s="12" t="s">
        <v>369</v>
      </c>
      <c r="Y33" s="1">
        <f t="array" ref="Y33">_xlfn.STDEV.S(IF(K23:K52="",0,K23:K52))</f>
        <v>1.6120950886075684</v>
      </c>
      <c r="AA33" s="46"/>
      <c r="AE33" s="58"/>
      <c r="AF33" s="52"/>
    </row>
    <row r="34" spans="4:32" x14ac:dyDescent="0.35">
      <c r="D34" s="11">
        <v>45942</v>
      </c>
      <c r="E34">
        <v>3</v>
      </c>
      <c r="G34">
        <v>1</v>
      </c>
      <c r="J34">
        <v>2</v>
      </c>
      <c r="N34">
        <v>6</v>
      </c>
      <c r="P34">
        <v>12</v>
      </c>
      <c r="R34">
        <v>6</v>
      </c>
      <c r="S34">
        <v>30</v>
      </c>
      <c r="X34" s="12" t="s">
        <v>359</v>
      </c>
      <c r="Y34" s="1">
        <f t="array" ref="Y34">_xlfn.STDEV.S(IF(Q23:Q52="",0,Q23:Q52))</f>
        <v>1.235955584516107</v>
      </c>
      <c r="AA34" s="46"/>
      <c r="AE34" s="58"/>
      <c r="AF34" s="52"/>
    </row>
    <row r="35" spans="4:32" x14ac:dyDescent="0.35">
      <c r="D35" s="11">
        <v>45943</v>
      </c>
      <c r="G35">
        <v>1</v>
      </c>
      <c r="H35">
        <v>33</v>
      </c>
      <c r="J35">
        <v>2</v>
      </c>
      <c r="K35">
        <v>6</v>
      </c>
      <c r="N35">
        <v>10</v>
      </c>
      <c r="O35">
        <v>3</v>
      </c>
      <c r="P35">
        <v>3</v>
      </c>
      <c r="Q35">
        <v>2</v>
      </c>
      <c r="R35">
        <v>5</v>
      </c>
      <c r="S35">
        <v>65</v>
      </c>
      <c r="X35" s="12" t="s">
        <v>360</v>
      </c>
      <c r="Y35" s="1">
        <f t="array" ref="Y35">_xlfn.STDEV.S(IF(M23:M52="",0,M23:M52))</f>
        <v>2.208916101808212</v>
      </c>
      <c r="AA35" s="46"/>
      <c r="AE35" s="58"/>
      <c r="AF35" s="52"/>
    </row>
    <row r="36" spans="4:32" x14ac:dyDescent="0.35">
      <c r="D36" s="11">
        <v>45944</v>
      </c>
      <c r="E36">
        <v>7</v>
      </c>
      <c r="G36">
        <v>2</v>
      </c>
      <c r="H36">
        <v>3</v>
      </c>
      <c r="I36">
        <v>3</v>
      </c>
      <c r="J36">
        <v>2</v>
      </c>
      <c r="K36">
        <v>1</v>
      </c>
      <c r="L36">
        <v>1</v>
      </c>
      <c r="N36">
        <v>2</v>
      </c>
      <c r="O36">
        <v>38</v>
      </c>
      <c r="P36">
        <v>3</v>
      </c>
      <c r="R36">
        <v>6</v>
      </c>
      <c r="S36">
        <v>68</v>
      </c>
      <c r="X36" s="12" t="s">
        <v>363</v>
      </c>
      <c r="Y36" s="1">
        <f t="array" ref="Y36">_xlfn.STDEV.S(IF(F23:F52="",0,F23:F52))</f>
        <v>1.0726484571581121</v>
      </c>
      <c r="AA36" s="46"/>
      <c r="AE36" s="58"/>
      <c r="AF36" s="52"/>
    </row>
    <row r="37" spans="4:32" x14ac:dyDescent="0.35">
      <c r="D37" s="11">
        <v>45945</v>
      </c>
      <c r="E37">
        <v>2</v>
      </c>
      <c r="I37">
        <v>1</v>
      </c>
      <c r="L37">
        <v>1</v>
      </c>
      <c r="M37">
        <v>1</v>
      </c>
      <c r="N37">
        <v>2</v>
      </c>
      <c r="P37">
        <v>7</v>
      </c>
      <c r="R37">
        <v>7</v>
      </c>
      <c r="S37">
        <v>21</v>
      </c>
      <c r="AE37" s="58"/>
      <c r="AF37" s="52"/>
    </row>
    <row r="38" spans="4:32" x14ac:dyDescent="0.35">
      <c r="D38" s="11">
        <v>45946</v>
      </c>
      <c r="E38">
        <v>40</v>
      </c>
      <c r="P38">
        <v>25</v>
      </c>
      <c r="Q38">
        <v>5</v>
      </c>
      <c r="R38">
        <v>5</v>
      </c>
      <c r="S38">
        <v>75</v>
      </c>
      <c r="AE38" s="58"/>
      <c r="AF38" s="52"/>
    </row>
    <row r="39" spans="4:32" x14ac:dyDescent="0.35">
      <c r="D39" s="11">
        <v>45947</v>
      </c>
      <c r="E39">
        <v>25</v>
      </c>
      <c r="G39">
        <v>5</v>
      </c>
      <c r="P39">
        <v>20</v>
      </c>
      <c r="R39">
        <v>5</v>
      </c>
      <c r="S39">
        <v>55</v>
      </c>
      <c r="AE39" s="59"/>
      <c r="AF39" s="53"/>
    </row>
    <row r="40" spans="4:32" x14ac:dyDescent="0.35">
      <c r="D40" s="11">
        <v>45948</v>
      </c>
      <c r="E40">
        <v>1</v>
      </c>
      <c r="G40">
        <v>5</v>
      </c>
      <c r="H40">
        <v>5</v>
      </c>
      <c r="J40">
        <v>11</v>
      </c>
      <c r="N40">
        <v>4</v>
      </c>
      <c r="P40">
        <v>8</v>
      </c>
      <c r="R40">
        <v>17</v>
      </c>
      <c r="S40">
        <v>51</v>
      </c>
    </row>
    <row r="41" spans="4:32" x14ac:dyDescent="0.35">
      <c r="D41" s="11">
        <v>45949</v>
      </c>
      <c r="E41">
        <v>7</v>
      </c>
      <c r="G41">
        <v>24</v>
      </c>
      <c r="H41">
        <v>2</v>
      </c>
      <c r="K41">
        <v>3</v>
      </c>
      <c r="L41">
        <v>4</v>
      </c>
      <c r="N41">
        <v>4</v>
      </c>
      <c r="O41">
        <v>1</v>
      </c>
      <c r="P41">
        <v>12</v>
      </c>
      <c r="Q41">
        <v>2</v>
      </c>
      <c r="R41">
        <v>2</v>
      </c>
      <c r="S41">
        <v>61</v>
      </c>
    </row>
    <row r="42" spans="4:32" x14ac:dyDescent="0.35">
      <c r="D42" s="11">
        <v>45950</v>
      </c>
      <c r="G42">
        <v>1</v>
      </c>
      <c r="H42">
        <v>3</v>
      </c>
      <c r="J42">
        <v>11</v>
      </c>
      <c r="N42">
        <v>3</v>
      </c>
      <c r="P42">
        <v>6</v>
      </c>
      <c r="Q42">
        <v>2</v>
      </c>
      <c r="S42">
        <v>26</v>
      </c>
    </row>
    <row r="43" spans="4:32" x14ac:dyDescent="0.35">
      <c r="D43" s="11">
        <v>45951</v>
      </c>
      <c r="E43">
        <v>2</v>
      </c>
      <c r="G43">
        <v>19</v>
      </c>
      <c r="H43">
        <v>9</v>
      </c>
      <c r="I43">
        <v>1</v>
      </c>
      <c r="J43">
        <v>6</v>
      </c>
      <c r="N43">
        <v>30</v>
      </c>
      <c r="P43">
        <v>11</v>
      </c>
      <c r="Q43">
        <v>2</v>
      </c>
      <c r="R43">
        <v>33</v>
      </c>
      <c r="S43">
        <v>113</v>
      </c>
    </row>
    <row r="44" spans="4:32" x14ac:dyDescent="0.35">
      <c r="D44" s="11">
        <v>45952</v>
      </c>
      <c r="E44">
        <v>1</v>
      </c>
      <c r="I44">
        <v>1</v>
      </c>
      <c r="J44">
        <v>2</v>
      </c>
      <c r="K44">
        <v>1</v>
      </c>
      <c r="L44">
        <v>2</v>
      </c>
      <c r="N44">
        <v>5</v>
      </c>
      <c r="O44">
        <v>1</v>
      </c>
      <c r="P44">
        <v>12</v>
      </c>
      <c r="Q44">
        <v>1</v>
      </c>
      <c r="R44">
        <v>21</v>
      </c>
      <c r="S44">
        <v>47</v>
      </c>
    </row>
    <row r="45" spans="4:32" x14ac:dyDescent="0.35">
      <c r="D45" s="11">
        <v>45953</v>
      </c>
      <c r="E45">
        <v>14</v>
      </c>
      <c r="F45">
        <v>1</v>
      </c>
      <c r="G45">
        <v>4</v>
      </c>
      <c r="H45">
        <v>5</v>
      </c>
      <c r="K45">
        <v>2</v>
      </c>
      <c r="L45">
        <v>13</v>
      </c>
      <c r="N45">
        <v>5</v>
      </c>
      <c r="P45">
        <v>3</v>
      </c>
      <c r="R45">
        <v>25</v>
      </c>
      <c r="S45">
        <v>72</v>
      </c>
    </row>
    <row r="46" spans="4:32" x14ac:dyDescent="0.35">
      <c r="D46" s="11">
        <v>45954</v>
      </c>
      <c r="E46">
        <v>52</v>
      </c>
      <c r="H46">
        <v>2</v>
      </c>
      <c r="K46">
        <v>2</v>
      </c>
      <c r="L46">
        <v>2</v>
      </c>
      <c r="P46">
        <v>18</v>
      </c>
      <c r="S46">
        <v>76</v>
      </c>
    </row>
    <row r="47" spans="4:32" x14ac:dyDescent="0.35">
      <c r="D47" s="11">
        <v>45955</v>
      </c>
      <c r="E47">
        <v>13</v>
      </c>
      <c r="F47">
        <v>5</v>
      </c>
      <c r="G47">
        <v>11</v>
      </c>
      <c r="H47">
        <v>21</v>
      </c>
      <c r="I47">
        <v>1</v>
      </c>
      <c r="J47">
        <v>10</v>
      </c>
      <c r="L47">
        <v>1</v>
      </c>
      <c r="N47">
        <v>17</v>
      </c>
      <c r="P47">
        <v>3</v>
      </c>
      <c r="R47">
        <v>3</v>
      </c>
      <c r="S47">
        <v>85</v>
      </c>
    </row>
    <row r="48" spans="4:32" x14ac:dyDescent="0.35">
      <c r="D48" s="11">
        <v>45956</v>
      </c>
      <c r="E48">
        <v>21</v>
      </c>
      <c r="G48">
        <v>6</v>
      </c>
      <c r="J48">
        <v>3</v>
      </c>
      <c r="N48">
        <v>1</v>
      </c>
      <c r="P48">
        <v>5</v>
      </c>
      <c r="R48">
        <v>5</v>
      </c>
      <c r="S48">
        <v>41</v>
      </c>
    </row>
    <row r="49" spans="4:19" x14ac:dyDescent="0.35">
      <c r="D49" s="11">
        <v>45957</v>
      </c>
      <c r="E49">
        <v>54</v>
      </c>
      <c r="G49">
        <v>8</v>
      </c>
      <c r="H49">
        <v>3</v>
      </c>
      <c r="I49">
        <v>1</v>
      </c>
      <c r="J49">
        <v>7</v>
      </c>
      <c r="L49">
        <v>5</v>
      </c>
      <c r="P49">
        <v>6</v>
      </c>
      <c r="R49">
        <v>7</v>
      </c>
      <c r="S49">
        <v>91</v>
      </c>
    </row>
    <row r="50" spans="4:19" x14ac:dyDescent="0.35">
      <c r="D50" s="11">
        <v>45958</v>
      </c>
      <c r="E50">
        <v>20</v>
      </c>
      <c r="F50">
        <v>1</v>
      </c>
      <c r="G50">
        <v>27</v>
      </c>
      <c r="I50">
        <v>1</v>
      </c>
      <c r="J50">
        <v>4</v>
      </c>
      <c r="N50">
        <v>10</v>
      </c>
      <c r="O50">
        <v>5</v>
      </c>
      <c r="P50">
        <v>3</v>
      </c>
      <c r="Q50">
        <v>2</v>
      </c>
      <c r="R50">
        <v>12</v>
      </c>
      <c r="S50">
        <v>85</v>
      </c>
    </row>
    <row r="51" spans="4:19" x14ac:dyDescent="0.35">
      <c r="D51" s="11">
        <v>45959</v>
      </c>
      <c r="E51">
        <v>16</v>
      </c>
      <c r="G51">
        <v>4</v>
      </c>
      <c r="I51">
        <v>13</v>
      </c>
      <c r="K51">
        <v>1</v>
      </c>
      <c r="L51">
        <v>1</v>
      </c>
      <c r="N51">
        <v>5</v>
      </c>
      <c r="P51">
        <v>11</v>
      </c>
      <c r="S51">
        <v>51</v>
      </c>
    </row>
    <row r="52" spans="4:19" x14ac:dyDescent="0.35">
      <c r="D52" s="11">
        <v>45960</v>
      </c>
      <c r="E52">
        <v>18</v>
      </c>
      <c r="G52">
        <v>3</v>
      </c>
      <c r="H52">
        <v>10</v>
      </c>
      <c r="J52">
        <v>2</v>
      </c>
      <c r="N52">
        <v>12</v>
      </c>
      <c r="P52">
        <v>56</v>
      </c>
      <c r="R52">
        <v>1</v>
      </c>
      <c r="S52">
        <v>102</v>
      </c>
    </row>
    <row r="53" spans="4:19" x14ac:dyDescent="0.35">
      <c r="D53" s="12" t="s">
        <v>1068</v>
      </c>
      <c r="E53">
        <v>621</v>
      </c>
      <c r="F53">
        <v>13</v>
      </c>
      <c r="G53">
        <v>184</v>
      </c>
      <c r="H53">
        <v>190</v>
      </c>
      <c r="I53">
        <v>53</v>
      </c>
      <c r="J53">
        <v>91</v>
      </c>
      <c r="K53">
        <v>23</v>
      </c>
      <c r="L53">
        <v>119</v>
      </c>
      <c r="M53">
        <v>15</v>
      </c>
      <c r="N53">
        <v>265</v>
      </c>
      <c r="O53">
        <v>111</v>
      </c>
      <c r="P53">
        <v>341</v>
      </c>
      <c r="Q53">
        <v>21</v>
      </c>
      <c r="R53">
        <v>255</v>
      </c>
      <c r="S53">
        <v>2302</v>
      </c>
    </row>
  </sheetData>
  <autoFilter ref="B3:F17" xr:uid="{B6F67A70-C5C7-4A6B-A9C7-79FC9FBA7BC4}"/>
  <mergeCells count="1">
    <mergeCell ref="AF1:AI1"/>
  </mergeCells>
  <conditionalFormatting sqref="AF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I16">
    <cfRule type="colorScale" priority="2">
      <colorScale>
        <cfvo type="min"/>
        <cfvo type="percentile" val="50"/>
        <cfvo type="max"/>
        <color rgb="FF00B050"/>
        <color rgb="FFFFC000"/>
        <color rgb="FFC00000"/>
      </colorScale>
    </cfRule>
  </conditionalFormatting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CD16-0A25-40FB-A386-10970FC05733}">
  <dimension ref="A3:R55"/>
  <sheetViews>
    <sheetView zoomScale="53" zoomScaleNormal="27" workbookViewId="0">
      <selection activeCell="C4" sqref="C4"/>
    </sheetView>
  </sheetViews>
  <sheetFormatPr defaultRowHeight="14.5" x14ac:dyDescent="0.35"/>
  <cols>
    <col min="1" max="1" width="20.7265625" bestFit="1" customWidth="1"/>
    <col min="2" max="2" width="21.81640625" bestFit="1" customWidth="1"/>
    <col min="5" max="5" width="20.453125" bestFit="1" customWidth="1"/>
    <col min="6" max="6" width="23.54296875" bestFit="1" customWidth="1"/>
    <col min="11" max="11" width="45.08984375" customWidth="1"/>
    <col min="12" max="12" width="24.7265625" customWidth="1"/>
    <col min="13" max="13" width="18.81640625" customWidth="1"/>
    <col min="17" max="17" width="21.26953125" bestFit="1" customWidth="1"/>
    <col min="18" max="18" width="20.81640625" bestFit="1" customWidth="1"/>
  </cols>
  <sheetData>
    <row r="3" spans="1:18" x14ac:dyDescent="0.35">
      <c r="A3" s="10" t="s">
        <v>1067</v>
      </c>
      <c r="B3" t="s">
        <v>1069</v>
      </c>
    </row>
    <row r="4" spans="1:18" x14ac:dyDescent="0.35">
      <c r="A4" s="12" t="s">
        <v>1076</v>
      </c>
      <c r="B4" s="20">
        <v>87656.090000000026</v>
      </c>
      <c r="C4" s="14">
        <f>B4/B$18</f>
        <v>0.20662648106006803</v>
      </c>
    </row>
    <row r="5" spans="1:18" x14ac:dyDescent="0.35">
      <c r="A5" s="12" t="s">
        <v>363</v>
      </c>
      <c r="B5" s="20">
        <v>2858.1099999999997</v>
      </c>
      <c r="C5" s="14">
        <f t="shared" ref="C5:C17" si="0">B5/B$18</f>
        <v>6.7372525033068537E-3</v>
      </c>
      <c r="Q5" s="10" t="s">
        <v>1067</v>
      </c>
      <c r="R5" t="s">
        <v>1074</v>
      </c>
    </row>
    <row r="6" spans="1:18" x14ac:dyDescent="0.35">
      <c r="A6" s="12" t="s">
        <v>1077</v>
      </c>
      <c r="B6" s="20">
        <v>68741.590000000011</v>
      </c>
      <c r="C6" s="14">
        <f t="shared" si="0"/>
        <v>0.16204045656353097</v>
      </c>
      <c r="Q6" s="12" t="s">
        <v>1076</v>
      </c>
      <c r="R6">
        <v>621</v>
      </c>
    </row>
    <row r="7" spans="1:18" x14ac:dyDescent="0.35">
      <c r="A7" s="12" t="s">
        <v>367</v>
      </c>
      <c r="B7" s="20">
        <v>20768.130000000005</v>
      </c>
      <c r="C7" s="14">
        <f t="shared" si="0"/>
        <v>4.8955476112361736E-2</v>
      </c>
      <c r="Q7" s="12" t="s">
        <v>363</v>
      </c>
      <c r="R7">
        <v>13</v>
      </c>
    </row>
    <row r="8" spans="1:18" x14ac:dyDescent="0.35">
      <c r="A8" s="12" t="s">
        <v>366</v>
      </c>
      <c r="B8" s="20">
        <v>7530.95</v>
      </c>
      <c r="C8" s="14">
        <f t="shared" si="0"/>
        <v>1.7752259968923084E-2</v>
      </c>
      <c r="Q8" s="12" t="s">
        <v>1077</v>
      </c>
      <c r="R8">
        <v>184</v>
      </c>
    </row>
    <row r="9" spans="1:18" x14ac:dyDescent="0.35">
      <c r="A9" s="12" t="s">
        <v>364</v>
      </c>
      <c r="B9" s="20">
        <v>12331.55</v>
      </c>
      <c r="C9" s="14">
        <f t="shared" si="0"/>
        <v>2.9068428474465165E-2</v>
      </c>
      <c r="Q9" s="12" t="s">
        <v>367</v>
      </c>
      <c r="R9">
        <v>190</v>
      </c>
    </row>
    <row r="10" spans="1:18" x14ac:dyDescent="0.35">
      <c r="A10" s="12" t="s">
        <v>369</v>
      </c>
      <c r="B10" s="20">
        <v>3158.1600000000003</v>
      </c>
      <c r="C10" s="14">
        <f t="shared" si="0"/>
        <v>7.444542500408863E-3</v>
      </c>
      <c r="Q10" s="12" t="s">
        <v>366</v>
      </c>
      <c r="R10">
        <v>53</v>
      </c>
    </row>
    <row r="11" spans="1:18" x14ac:dyDescent="0.35">
      <c r="A11" s="12" t="s">
        <v>1075</v>
      </c>
      <c r="B11" s="20">
        <v>11714.390000000001</v>
      </c>
      <c r="C11" s="14">
        <f t="shared" si="0"/>
        <v>2.7613633958179631E-2</v>
      </c>
      <c r="Q11" s="12" t="s">
        <v>364</v>
      </c>
      <c r="R11">
        <v>91</v>
      </c>
    </row>
    <row r="12" spans="1:18" x14ac:dyDescent="0.35">
      <c r="A12" s="12" t="s">
        <v>360</v>
      </c>
      <c r="B12" s="20">
        <v>1722.8200000000002</v>
      </c>
      <c r="C12" s="14">
        <f t="shared" si="0"/>
        <v>4.0611009925255208E-3</v>
      </c>
      <c r="Q12" s="12" t="s">
        <v>369</v>
      </c>
      <c r="R12">
        <v>23</v>
      </c>
    </row>
    <row r="13" spans="1:18" x14ac:dyDescent="0.35">
      <c r="A13" s="12" t="s">
        <v>365</v>
      </c>
      <c r="B13" s="20">
        <v>25688.449999999997</v>
      </c>
      <c r="C13" s="14">
        <f t="shared" si="0"/>
        <v>6.0553853444609528E-2</v>
      </c>
      <c r="Q13" s="12" t="s">
        <v>1075</v>
      </c>
      <c r="R13">
        <v>119</v>
      </c>
    </row>
    <row r="14" spans="1:18" x14ac:dyDescent="0.35">
      <c r="A14" s="12" t="s">
        <v>362</v>
      </c>
      <c r="B14" s="20">
        <v>11057.119999999999</v>
      </c>
      <c r="C14" s="14">
        <f t="shared" si="0"/>
        <v>2.6064290527433961E-2</v>
      </c>
      <c r="Q14" s="12" t="s">
        <v>360</v>
      </c>
      <c r="R14">
        <v>15</v>
      </c>
    </row>
    <row r="15" spans="1:18" x14ac:dyDescent="0.35">
      <c r="A15" s="12" t="s">
        <v>361</v>
      </c>
      <c r="B15" s="20">
        <v>130075.74999999999</v>
      </c>
      <c r="C15" s="14">
        <f t="shared" si="0"/>
        <v>0.30661981949855549</v>
      </c>
      <c r="Q15" s="12" t="s">
        <v>365</v>
      </c>
      <c r="R15">
        <v>265</v>
      </c>
    </row>
    <row r="16" spans="1:18" x14ac:dyDescent="0.35">
      <c r="A16" s="12" t="s">
        <v>359</v>
      </c>
      <c r="B16" s="20">
        <v>13624.100000000002</v>
      </c>
      <c r="C16" s="14">
        <f t="shared" si="0"/>
        <v>3.2115279618455179E-2</v>
      </c>
      <c r="Q16" s="12" t="s">
        <v>362</v>
      </c>
      <c r="R16">
        <v>111</v>
      </c>
    </row>
    <row r="17" spans="1:18" x14ac:dyDescent="0.35">
      <c r="A17" s="12" t="s">
        <v>368</v>
      </c>
      <c r="B17" s="20">
        <v>27297.650000000009</v>
      </c>
      <c r="C17" s="14">
        <f t="shared" si="0"/>
        <v>6.4347124777175968E-2</v>
      </c>
      <c r="Q17" s="12" t="s">
        <v>361</v>
      </c>
      <c r="R17">
        <v>341</v>
      </c>
    </row>
    <row r="18" spans="1:18" x14ac:dyDescent="0.35">
      <c r="A18" s="12" t="s">
        <v>1068</v>
      </c>
      <c r="B18">
        <v>424224.86000000004</v>
      </c>
      <c r="Q18" s="12" t="s">
        <v>359</v>
      </c>
      <c r="R18">
        <v>21</v>
      </c>
    </row>
    <row r="19" spans="1:18" x14ac:dyDescent="0.35">
      <c r="Q19" s="12" t="s">
        <v>368</v>
      </c>
      <c r="R19">
        <v>255</v>
      </c>
    </row>
    <row r="20" spans="1:18" x14ac:dyDescent="0.35">
      <c r="Q20" s="12" t="s">
        <v>1070</v>
      </c>
    </row>
    <row r="21" spans="1:18" x14ac:dyDescent="0.35">
      <c r="Q21" s="12" t="s">
        <v>1068</v>
      </c>
      <c r="R21">
        <v>2302</v>
      </c>
    </row>
    <row r="25" spans="1:18" x14ac:dyDescent="0.35">
      <c r="Q25" t="s">
        <v>1096</v>
      </c>
    </row>
    <row r="26" spans="1:18" x14ac:dyDescent="0.35">
      <c r="Q26" s="14">
        <f>B4/B18</f>
        <v>0.20662648106006803</v>
      </c>
    </row>
    <row r="28" spans="1:18" x14ac:dyDescent="0.35">
      <c r="Q28" t="s">
        <v>1097</v>
      </c>
    </row>
    <row r="29" spans="1:18" x14ac:dyDescent="0.35">
      <c r="Q29" s="14">
        <f>B15/B18</f>
        <v>0.30661981949855549</v>
      </c>
    </row>
    <row r="38" spans="5:13" x14ac:dyDescent="0.35">
      <c r="E38" s="10" t="s">
        <v>1067</v>
      </c>
      <c r="F38" t="s">
        <v>1091</v>
      </c>
      <c r="K38" t="s">
        <v>1065</v>
      </c>
      <c r="L38" t="s">
        <v>1201</v>
      </c>
      <c r="M38" t="s">
        <v>1202</v>
      </c>
    </row>
    <row r="39" spans="5:13" x14ac:dyDescent="0.35">
      <c r="E39" s="12" t="s">
        <v>1076</v>
      </c>
      <c r="F39" s="1">
        <v>8054.0290909090972</v>
      </c>
      <c r="K39" s="12" t="s">
        <v>1076</v>
      </c>
      <c r="L39" s="1">
        <v>8054.0290909090972</v>
      </c>
      <c r="M39" s="14">
        <f>L39/L$55</f>
        <v>0.22061389527842801</v>
      </c>
    </row>
    <row r="40" spans="5:13" x14ac:dyDescent="0.35">
      <c r="E40" s="12" t="s">
        <v>363</v>
      </c>
      <c r="F40" s="1">
        <v>227.65909090909102</v>
      </c>
      <c r="K40" s="12" t="s">
        <v>363</v>
      </c>
      <c r="L40" s="1">
        <v>227.65909090909102</v>
      </c>
      <c r="M40" s="14">
        <f t="shared" ref="M40:M52" si="1">L40/L$55</f>
        <v>6.2359793184371543E-3</v>
      </c>
    </row>
    <row r="41" spans="5:13" x14ac:dyDescent="0.35">
      <c r="E41" s="12" t="s">
        <v>1077</v>
      </c>
      <c r="F41" s="1">
        <v>6109.3527272727351</v>
      </c>
      <c r="K41" s="12" t="s">
        <v>1077</v>
      </c>
      <c r="L41" s="1">
        <v>6109.3527272727351</v>
      </c>
      <c r="M41" s="14">
        <f t="shared" si="1"/>
        <v>0.16734582003370838</v>
      </c>
    </row>
    <row r="42" spans="5:13" x14ac:dyDescent="0.35">
      <c r="E42" s="12" t="s">
        <v>367</v>
      </c>
      <c r="F42" s="1">
        <v>2008.3809090909103</v>
      </c>
      <c r="K42" s="12" t="s">
        <v>367</v>
      </c>
      <c r="L42" s="1">
        <v>2008.3809090909103</v>
      </c>
      <c r="M42" s="14">
        <f t="shared" si="1"/>
        <v>5.5013053784160583E-2</v>
      </c>
    </row>
    <row r="43" spans="5:13" x14ac:dyDescent="0.35">
      <c r="E43" s="12" t="s">
        <v>366</v>
      </c>
      <c r="F43" s="1">
        <v>672.40090909091009</v>
      </c>
      <c r="K43" s="12" t="s">
        <v>366</v>
      </c>
      <c r="L43" s="1">
        <v>672.40090909091009</v>
      </c>
      <c r="M43" s="14">
        <f t="shared" si="1"/>
        <v>1.8418232920308194E-2</v>
      </c>
    </row>
    <row r="44" spans="5:13" x14ac:dyDescent="0.35">
      <c r="E44" s="12" t="s">
        <v>364</v>
      </c>
      <c r="F44" s="1">
        <v>1103.5072727272736</v>
      </c>
      <c r="K44" s="12" t="s">
        <v>364</v>
      </c>
      <c r="L44" s="1">
        <v>1103.5072727272736</v>
      </c>
      <c r="M44" s="14">
        <f t="shared" si="1"/>
        <v>3.022698765506435E-2</v>
      </c>
    </row>
    <row r="45" spans="5:13" x14ac:dyDescent="0.35">
      <c r="E45" s="12" t="s">
        <v>369</v>
      </c>
      <c r="F45" s="1">
        <v>286.96545454545475</v>
      </c>
      <c r="K45" s="12" t="s">
        <v>369</v>
      </c>
      <c r="L45" s="1">
        <v>286.96545454545475</v>
      </c>
      <c r="M45" s="14">
        <f t="shared" si="1"/>
        <v>7.8604839916801821E-3</v>
      </c>
    </row>
    <row r="46" spans="5:13" x14ac:dyDescent="0.35">
      <c r="E46" s="12" t="s">
        <v>1075</v>
      </c>
      <c r="F46" s="1">
        <v>1044.4281818181826</v>
      </c>
      <c r="K46" s="12" t="s">
        <v>1075</v>
      </c>
      <c r="L46" s="1">
        <v>1044.4281818181826</v>
      </c>
      <c r="M46" s="14">
        <f t="shared" si="1"/>
        <v>2.8608708377966311E-2</v>
      </c>
    </row>
    <row r="47" spans="5:13" x14ac:dyDescent="0.35">
      <c r="E47" s="12" t="s">
        <v>360</v>
      </c>
      <c r="F47" s="1">
        <v>153.77727272727282</v>
      </c>
      <c r="K47" s="12" t="s">
        <v>360</v>
      </c>
      <c r="L47" s="1">
        <v>153.77727272727282</v>
      </c>
      <c r="M47" s="14">
        <f t="shared" si="1"/>
        <v>4.2122275396235878E-3</v>
      </c>
    </row>
    <row r="48" spans="5:13" x14ac:dyDescent="0.35">
      <c r="E48" s="12" t="s">
        <v>365</v>
      </c>
      <c r="F48" s="1">
        <v>1942.8609090909108</v>
      </c>
      <c r="K48" s="12" t="s">
        <v>365</v>
      </c>
      <c r="L48" s="1">
        <v>1942.8609090909108</v>
      </c>
      <c r="M48" s="14">
        <f t="shared" si="1"/>
        <v>5.3218346780313522E-2</v>
      </c>
    </row>
    <row r="49" spans="5:13" x14ac:dyDescent="0.35">
      <c r="E49" s="12" t="s">
        <v>362</v>
      </c>
      <c r="F49" s="1">
        <v>1016.7790909090915</v>
      </c>
      <c r="K49" s="12" t="s">
        <v>362</v>
      </c>
      <c r="L49" s="1">
        <v>1016.7790909090915</v>
      </c>
      <c r="M49" s="14">
        <f t="shared" si="1"/>
        <v>2.785135158455132E-2</v>
      </c>
    </row>
    <row r="50" spans="5:13" x14ac:dyDescent="0.35">
      <c r="E50" s="12" t="s">
        <v>361</v>
      </c>
      <c r="F50" s="1">
        <v>10298.005454545459</v>
      </c>
      <c r="K50" s="12" t="s">
        <v>361</v>
      </c>
      <c r="L50" s="1">
        <v>10298.005454545459</v>
      </c>
      <c r="M50" s="14">
        <f t="shared" si="1"/>
        <v>0.28208031921440874</v>
      </c>
    </row>
    <row r="51" spans="5:13" x14ac:dyDescent="0.35">
      <c r="E51" s="12" t="s">
        <v>359</v>
      </c>
      <c r="F51" s="1">
        <v>1133.5654545454554</v>
      </c>
      <c r="K51" s="12" t="s">
        <v>359</v>
      </c>
      <c r="L51" s="1">
        <v>1133.5654545454554</v>
      </c>
      <c r="M51" s="14">
        <f t="shared" si="1"/>
        <v>3.1050333647616234E-2</v>
      </c>
    </row>
    <row r="52" spans="5:13" x14ac:dyDescent="0.35">
      <c r="E52" s="12" t="s">
        <v>368</v>
      </c>
      <c r="F52" s="1">
        <v>2455.6400000000021</v>
      </c>
      <c r="K52" s="12" t="s">
        <v>368</v>
      </c>
      <c r="L52" s="1">
        <v>2455.6400000000021</v>
      </c>
      <c r="M52" s="14">
        <f t="shared" si="1"/>
        <v>6.7264259873733537E-2</v>
      </c>
    </row>
    <row r="53" spans="5:13" x14ac:dyDescent="0.35">
      <c r="E53" s="12" t="s">
        <v>1070</v>
      </c>
    </row>
    <row r="54" spans="5:13" x14ac:dyDescent="0.35">
      <c r="E54" s="12" t="s">
        <v>1068</v>
      </c>
      <c r="F54">
        <v>36507.351818181844</v>
      </c>
    </row>
    <row r="55" spans="5:13" x14ac:dyDescent="0.35">
      <c r="L55" s="1">
        <f>SUM(L39:L52)</f>
        <v>36507.351818181844</v>
      </c>
    </row>
  </sheetData>
  <pageMargins left="0.7" right="0.7" top="0.75" bottom="0.75" header="0.3" footer="0.3"/>
  <pageSetup orientation="portrait" r:id="rId4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C285-EA07-4F20-891F-A04B48A9841F}">
  <dimension ref="A3:Q52"/>
  <sheetViews>
    <sheetView zoomScale="36" zoomScaleNormal="60" workbookViewId="0">
      <selection activeCell="H15" sqref="H15"/>
    </sheetView>
  </sheetViews>
  <sheetFormatPr defaultRowHeight="14.5" x14ac:dyDescent="0.35"/>
  <cols>
    <col min="1" max="1" width="14" bestFit="1" customWidth="1"/>
    <col min="2" max="2" width="15.7265625" style="20" bestFit="1" customWidth="1"/>
    <col min="3" max="3" width="23.54296875" bestFit="1" customWidth="1"/>
    <col min="4" max="4" width="14" bestFit="1" customWidth="1"/>
    <col min="5" max="5" width="16.6328125" style="20" bestFit="1" customWidth="1"/>
    <col min="7" max="7" width="38.90625" bestFit="1" customWidth="1"/>
    <col min="8" max="8" width="15.26953125" customWidth="1"/>
    <col min="9" max="9" width="16.7265625" bestFit="1" customWidth="1"/>
    <col min="13" max="13" width="25.36328125" customWidth="1"/>
    <col min="14" max="14" width="28.26953125" customWidth="1"/>
    <col min="16" max="16" width="19.81640625" customWidth="1"/>
    <col min="17" max="17" width="26.453125" customWidth="1"/>
  </cols>
  <sheetData>
    <row r="3" spans="1:17" x14ac:dyDescent="0.35">
      <c r="A3" s="10" t="s">
        <v>1067</v>
      </c>
      <c r="B3" s="20" t="s">
        <v>1069</v>
      </c>
      <c r="D3" s="10" t="s">
        <v>1067</v>
      </c>
      <c r="E3" s="20" t="s">
        <v>1091</v>
      </c>
    </row>
    <row r="4" spans="1:17" x14ac:dyDescent="0.35">
      <c r="A4" s="11">
        <v>45931</v>
      </c>
      <c r="B4" s="20">
        <v>15773.65</v>
      </c>
      <c r="D4" s="11">
        <v>45931</v>
      </c>
      <c r="E4" s="20">
        <v>1397.01090909091</v>
      </c>
    </row>
    <row r="5" spans="1:17" x14ac:dyDescent="0.35">
      <c r="A5" s="11">
        <v>45932</v>
      </c>
      <c r="B5" s="20">
        <v>19290.97</v>
      </c>
      <c r="D5" s="11">
        <v>45932</v>
      </c>
      <c r="E5" s="20">
        <v>1654.6527272727287</v>
      </c>
    </row>
    <row r="6" spans="1:17" x14ac:dyDescent="0.35">
      <c r="A6" s="11">
        <v>45933</v>
      </c>
      <c r="B6" s="20">
        <v>20851.159999999993</v>
      </c>
      <c r="D6" s="11">
        <v>45933</v>
      </c>
      <c r="E6" s="20">
        <v>1852.9018181818199</v>
      </c>
      <c r="P6" s="39" t="s">
        <v>1189</v>
      </c>
      <c r="Q6" s="40" t="s">
        <v>1190</v>
      </c>
    </row>
    <row r="7" spans="1:17" x14ac:dyDescent="0.35">
      <c r="A7" s="11">
        <v>45934</v>
      </c>
      <c r="B7" s="20">
        <v>8258.66</v>
      </c>
      <c r="D7" s="11">
        <v>45934</v>
      </c>
      <c r="E7" s="20">
        <v>711.822727272728</v>
      </c>
      <c r="P7" s="11">
        <v>45937</v>
      </c>
      <c r="Q7" s="38">
        <f>AVERAGE(E4:E10)</f>
        <v>1195.1597402597413</v>
      </c>
    </row>
    <row r="8" spans="1:17" x14ac:dyDescent="0.35">
      <c r="A8" s="11">
        <v>45935</v>
      </c>
      <c r="B8" s="20">
        <v>7769.2800000000007</v>
      </c>
      <c r="D8" s="11">
        <v>45935</v>
      </c>
      <c r="E8" s="20">
        <v>682.22636363636411</v>
      </c>
      <c r="M8" t="s">
        <v>1192</v>
      </c>
      <c r="N8" t="s">
        <v>1191</v>
      </c>
      <c r="P8" s="11">
        <v>45938</v>
      </c>
      <c r="Q8" s="38">
        <f t="shared" ref="Q8:Q30" si="0">AVERAGE(E5:E11)</f>
        <v>1251.0137662337672</v>
      </c>
    </row>
    <row r="9" spans="1:17" x14ac:dyDescent="0.35">
      <c r="A9" s="11">
        <v>45936</v>
      </c>
      <c r="B9" s="20">
        <v>17459.330000000002</v>
      </c>
      <c r="D9" s="11">
        <v>45936</v>
      </c>
      <c r="E9" s="20">
        <v>1538.289090909092</v>
      </c>
      <c r="G9" t="s">
        <v>1071</v>
      </c>
      <c r="H9" s="20">
        <f>MAX(B4:B33)</f>
        <v>38237.300000000003</v>
      </c>
      <c r="I9" s="13">
        <v>45946</v>
      </c>
      <c r="M9" t="s">
        <v>1193</v>
      </c>
      <c r="N9" s="20">
        <f>SUM(B4:B10)</f>
        <v>95331.790000000008</v>
      </c>
      <c r="P9" s="11">
        <v>45939</v>
      </c>
      <c r="Q9" s="38">
        <f t="shared" si="0"/>
        <v>1167.94103896104</v>
      </c>
    </row>
    <row r="10" spans="1:17" x14ac:dyDescent="0.35">
      <c r="A10" s="11">
        <v>45937</v>
      </c>
      <c r="B10" s="20">
        <v>5928.74</v>
      </c>
      <c r="D10" s="11">
        <v>45937</v>
      </c>
      <c r="E10" s="20">
        <v>529.21454545454594</v>
      </c>
      <c r="G10" t="s">
        <v>1072</v>
      </c>
      <c r="H10" s="20">
        <f>MAX(E4:E33)</f>
        <v>3289.4636363636382</v>
      </c>
      <c r="I10" s="13">
        <v>45946</v>
      </c>
      <c r="M10" t="s">
        <v>1194</v>
      </c>
      <c r="N10" s="20">
        <f>SUM(B11:B17)</f>
        <v>73971.700000000012</v>
      </c>
      <c r="P10" s="11">
        <v>45940</v>
      </c>
      <c r="Q10" s="38">
        <f t="shared" si="0"/>
        <v>1034.5792207792217</v>
      </c>
    </row>
    <row r="11" spans="1:17" x14ac:dyDescent="0.35">
      <c r="A11" s="11">
        <v>45938</v>
      </c>
      <c r="B11" s="20">
        <v>20442.560000000001</v>
      </c>
      <c r="D11" s="11">
        <v>45938</v>
      </c>
      <c r="E11" s="20">
        <v>1787.9890909090925</v>
      </c>
      <c r="G11" t="s">
        <v>1073</v>
      </c>
      <c r="H11" s="20">
        <f>AVERAGE(B4:B33)</f>
        <v>14140.828666666665</v>
      </c>
      <c r="M11" t="s">
        <v>1195</v>
      </c>
      <c r="N11" s="20">
        <f>SUM(B18:B24)</f>
        <v>123452.13</v>
      </c>
      <c r="P11" s="11">
        <v>45941</v>
      </c>
      <c r="Q11" s="38">
        <f t="shared" si="0"/>
        <v>1012.0067532467541</v>
      </c>
    </row>
    <row r="12" spans="1:17" x14ac:dyDescent="0.35">
      <c r="A12" s="11">
        <v>45939</v>
      </c>
      <c r="B12" s="20">
        <v>11925.070000000002</v>
      </c>
      <c r="D12" s="11">
        <v>45939</v>
      </c>
      <c r="E12" s="20">
        <v>1073.1436363636376</v>
      </c>
      <c r="H12" s="20"/>
      <c r="M12" t="s">
        <v>1196</v>
      </c>
      <c r="N12" s="20">
        <f>SUM(B25:B33)</f>
        <v>131469.24</v>
      </c>
      <c r="P12" s="11">
        <v>45942</v>
      </c>
      <c r="Q12" s="38">
        <f t="shared" si="0"/>
        <v>1008.1705194805203</v>
      </c>
    </row>
    <row r="13" spans="1:17" x14ac:dyDescent="0.35">
      <c r="A13" s="11">
        <v>45940</v>
      </c>
      <c r="B13" s="20">
        <v>10325.659999999998</v>
      </c>
      <c r="D13" s="11">
        <v>45940</v>
      </c>
      <c r="E13" s="20">
        <v>919.36909090909148</v>
      </c>
      <c r="G13" t="s">
        <v>1094</v>
      </c>
      <c r="H13" s="20">
        <f>MIN(B4:B33)</f>
        <v>5640.7000000000007</v>
      </c>
      <c r="I13" s="2">
        <v>45950</v>
      </c>
      <c r="P13" s="11">
        <v>45943</v>
      </c>
      <c r="Q13" s="38">
        <f t="shared" si="0"/>
        <v>914.06233766233834</v>
      </c>
    </row>
    <row r="14" spans="1:17" x14ac:dyDescent="0.35">
      <c r="A14" s="11">
        <v>45941</v>
      </c>
      <c r="B14" s="20">
        <v>6373.4500000000016</v>
      </c>
      <c r="D14" s="11">
        <v>45941</v>
      </c>
      <c r="E14" s="20">
        <v>553.81545454545494</v>
      </c>
      <c r="G14" t="s">
        <v>1093</v>
      </c>
      <c r="H14" s="20">
        <f>MIN(E4:E33)</f>
        <v>342.72727272727298</v>
      </c>
      <c r="I14" s="2">
        <v>45945</v>
      </c>
      <c r="P14" s="11">
        <v>45944</v>
      </c>
      <c r="Q14" s="38">
        <f t="shared" si="0"/>
        <v>935.4858441558448</v>
      </c>
    </row>
    <row r="15" spans="1:17" x14ac:dyDescent="0.35">
      <c r="A15" s="11">
        <v>45942</v>
      </c>
      <c r="B15" s="20">
        <v>7776.579999999999</v>
      </c>
      <c r="D15" s="11">
        <v>45942</v>
      </c>
      <c r="E15" s="20">
        <v>655.37272727272762</v>
      </c>
      <c r="G15" t="s">
        <v>1197</v>
      </c>
      <c r="H15" s="20">
        <f>B35</f>
        <v>424224.85999999993</v>
      </c>
      <c r="P15" s="11">
        <v>45945</v>
      </c>
      <c r="Q15" s="38">
        <f t="shared" si="0"/>
        <v>729.01987012987058</v>
      </c>
    </row>
    <row r="16" spans="1:17" x14ac:dyDescent="0.35">
      <c r="A16" s="11">
        <v>45943</v>
      </c>
      <c r="B16" s="20">
        <v>9363.33</v>
      </c>
      <c r="D16" s="11">
        <v>45943</v>
      </c>
      <c r="E16" s="20">
        <v>879.53181818181884</v>
      </c>
      <c r="G16" t="s">
        <v>1198</v>
      </c>
      <c r="H16" s="20">
        <f>SUM(E4:E33)</f>
        <v>36507.351818181844</v>
      </c>
      <c r="P16" s="11">
        <v>45946</v>
      </c>
      <c r="Q16" s="38">
        <f t="shared" si="0"/>
        <v>1045.6370129870136</v>
      </c>
    </row>
    <row r="17" spans="1:17" x14ac:dyDescent="0.35">
      <c r="A17" s="11">
        <v>45944</v>
      </c>
      <c r="B17" s="20">
        <v>7765.0500000000011</v>
      </c>
      <c r="D17" s="11">
        <v>45944</v>
      </c>
      <c r="E17" s="20">
        <v>679.17909090909131</v>
      </c>
      <c r="P17" s="11">
        <v>45947</v>
      </c>
      <c r="Q17" s="38">
        <f t="shared" si="0"/>
        <v>1283.1446753246762</v>
      </c>
    </row>
    <row r="18" spans="1:17" x14ac:dyDescent="0.35">
      <c r="A18" s="11">
        <v>45945</v>
      </c>
      <c r="B18" s="20">
        <v>16041.490000000002</v>
      </c>
      <c r="D18" s="11">
        <v>45945</v>
      </c>
      <c r="E18" s="20">
        <v>342.72727272727298</v>
      </c>
      <c r="P18" s="11">
        <v>45948</v>
      </c>
      <c r="Q18" s="38">
        <f t="shared" si="0"/>
        <v>1352.9427272727282</v>
      </c>
    </row>
    <row r="19" spans="1:17" x14ac:dyDescent="0.35">
      <c r="A19" s="11">
        <v>45946</v>
      </c>
      <c r="B19" s="20">
        <v>38237.300000000003</v>
      </c>
      <c r="D19" s="11">
        <v>45946</v>
      </c>
      <c r="E19" s="20">
        <v>3289.4636363636382</v>
      </c>
      <c r="P19" s="11">
        <v>45949</v>
      </c>
      <c r="Q19" s="38">
        <f t="shared" si="0"/>
        <v>1376.4975324675336</v>
      </c>
    </row>
    <row r="20" spans="1:17" x14ac:dyDescent="0.35">
      <c r="A20" s="11">
        <v>45947</v>
      </c>
      <c r="B20" s="20">
        <v>28401.15</v>
      </c>
      <c r="D20" s="11">
        <v>45947</v>
      </c>
      <c r="E20" s="20">
        <v>2581.9227272727298</v>
      </c>
      <c r="J20" s="15"/>
      <c r="P20" s="11">
        <v>45950</v>
      </c>
      <c r="Q20" s="38">
        <f t="shared" si="0"/>
        <v>1317.1446753246764</v>
      </c>
    </row>
    <row r="21" spans="1:17" x14ac:dyDescent="0.35">
      <c r="A21" s="11">
        <v>45948</v>
      </c>
      <c r="B21" s="20">
        <v>11469.460000000001</v>
      </c>
      <c r="D21" s="11">
        <v>45948</v>
      </c>
      <c r="E21" s="20">
        <v>1042.401818181819</v>
      </c>
      <c r="P21" s="11">
        <v>45951</v>
      </c>
      <c r="Q21" s="38">
        <f t="shared" si="0"/>
        <v>1403.3746753246764</v>
      </c>
    </row>
    <row r="22" spans="1:17" x14ac:dyDescent="0.35">
      <c r="A22" s="11">
        <v>45949</v>
      </c>
      <c r="B22" s="20">
        <v>9418.98</v>
      </c>
      <c r="D22" s="11">
        <v>45949</v>
      </c>
      <c r="E22" s="20">
        <v>820.2563636363642</v>
      </c>
      <c r="P22" s="11">
        <v>45952</v>
      </c>
      <c r="Q22" s="38">
        <f t="shared" si="0"/>
        <v>1441.4277922077931</v>
      </c>
    </row>
    <row r="23" spans="1:17" x14ac:dyDescent="0.35">
      <c r="A23" s="11">
        <v>45950</v>
      </c>
      <c r="B23" s="20">
        <v>5640.7000000000007</v>
      </c>
      <c r="D23" s="11">
        <v>45950</v>
      </c>
      <c r="E23" s="20">
        <v>464.06181818181852</v>
      </c>
      <c r="P23" s="11">
        <v>45953</v>
      </c>
      <c r="Q23" s="38">
        <f t="shared" si="0"/>
        <v>1080.4744155844164</v>
      </c>
    </row>
    <row r="24" spans="1:17" x14ac:dyDescent="0.35">
      <c r="A24" s="11">
        <v>45951</v>
      </c>
      <c r="B24" s="20">
        <v>14243.050000000001</v>
      </c>
      <c r="D24" s="11">
        <v>45951</v>
      </c>
      <c r="E24" s="20">
        <v>1282.7890909090922</v>
      </c>
      <c r="P24" s="11">
        <v>45954</v>
      </c>
      <c r="Q24" s="38">
        <f t="shared" si="0"/>
        <v>908.08649350649432</v>
      </c>
    </row>
    <row r="25" spans="1:17" x14ac:dyDescent="0.35">
      <c r="A25" s="11">
        <v>45952</v>
      </c>
      <c r="B25" s="20">
        <v>6881.6699999999983</v>
      </c>
      <c r="D25" s="11">
        <v>45952</v>
      </c>
      <c r="E25" s="20">
        <v>609.09909090909127</v>
      </c>
      <c r="P25" s="11">
        <v>45955</v>
      </c>
      <c r="Q25" s="38">
        <f t="shared" si="0"/>
        <v>887.21831168831238</v>
      </c>
    </row>
    <row r="26" spans="1:17" x14ac:dyDescent="0.35">
      <c r="A26" s="11">
        <v>45953</v>
      </c>
      <c r="B26" s="20">
        <v>8834.09</v>
      </c>
      <c r="D26" s="11">
        <v>45953</v>
      </c>
      <c r="E26" s="20">
        <v>762.79000000000065</v>
      </c>
      <c r="P26" s="11">
        <v>45956</v>
      </c>
      <c r="Q26" s="38">
        <f t="shared" si="0"/>
        <v>895.9112987012993</v>
      </c>
    </row>
    <row r="27" spans="1:17" x14ac:dyDescent="0.35">
      <c r="A27" s="11">
        <v>45954</v>
      </c>
      <c r="B27" s="20">
        <v>12738.24</v>
      </c>
      <c r="D27" s="11">
        <v>45954</v>
      </c>
      <c r="E27" s="20">
        <v>1375.2072727272734</v>
      </c>
      <c r="P27" s="11">
        <v>45957</v>
      </c>
      <c r="Q27" s="38">
        <f t="shared" si="0"/>
        <v>1112.7900000000009</v>
      </c>
    </row>
    <row r="28" spans="1:17" x14ac:dyDescent="0.35">
      <c r="A28" s="11">
        <v>45955</v>
      </c>
      <c r="B28" s="20">
        <v>10164.48</v>
      </c>
      <c r="D28" s="11">
        <v>45955</v>
      </c>
      <c r="E28" s="20">
        <v>896.3245454545463</v>
      </c>
      <c r="P28" s="11">
        <v>45958</v>
      </c>
      <c r="Q28" s="38">
        <f t="shared" si="0"/>
        <v>1306.7328571428582</v>
      </c>
    </row>
    <row r="29" spans="1:17" x14ac:dyDescent="0.35">
      <c r="A29" s="11">
        <v>45956</v>
      </c>
      <c r="B29" s="20">
        <v>9955.5</v>
      </c>
      <c r="D29" s="11">
        <v>45956</v>
      </c>
      <c r="E29" s="20">
        <v>881.10727272727354</v>
      </c>
      <c r="P29" s="11">
        <v>45959</v>
      </c>
      <c r="Q29" s="38">
        <f t="shared" si="0"/>
        <v>1327.0032467532478</v>
      </c>
    </row>
    <row r="30" spans="1:17" x14ac:dyDescent="0.35">
      <c r="A30" s="11">
        <v>45957</v>
      </c>
      <c r="B30" s="20">
        <v>22478.97</v>
      </c>
      <c r="D30" s="11">
        <v>45957</v>
      </c>
      <c r="E30" s="20">
        <v>1982.2127272727289</v>
      </c>
      <c r="P30" s="11">
        <v>45960</v>
      </c>
      <c r="Q30" s="38">
        <f t="shared" si="0"/>
        <v>1485.3315584415598</v>
      </c>
    </row>
    <row r="31" spans="1:17" x14ac:dyDescent="0.35">
      <c r="A31" s="11">
        <v>45958</v>
      </c>
      <c r="B31" s="20">
        <v>29421.739999999998</v>
      </c>
      <c r="D31" s="11">
        <v>45958</v>
      </c>
      <c r="E31" s="20">
        <v>2640.3890909090933</v>
      </c>
    </row>
    <row r="32" spans="1:17" x14ac:dyDescent="0.35">
      <c r="A32" s="11">
        <v>45959</v>
      </c>
      <c r="B32" s="20">
        <v>12056.370000000003</v>
      </c>
      <c r="D32" s="11">
        <v>45959</v>
      </c>
      <c r="E32" s="20">
        <v>750.99181818181887</v>
      </c>
    </row>
    <row r="33" spans="1:5" x14ac:dyDescent="0.35">
      <c r="A33" s="11">
        <v>45960</v>
      </c>
      <c r="B33" s="20">
        <v>18938.180000000004</v>
      </c>
      <c r="D33" s="11">
        <v>45960</v>
      </c>
      <c r="E33" s="20">
        <v>1871.0881818181833</v>
      </c>
    </row>
    <row r="34" spans="1:5" hidden="1" x14ac:dyDescent="0.35">
      <c r="A34" s="12" t="s">
        <v>1070</v>
      </c>
      <c r="D34" s="12" t="s">
        <v>1068</v>
      </c>
      <c r="E34" s="20">
        <v>36507.351818181844</v>
      </c>
    </row>
    <row r="35" spans="1:5" x14ac:dyDescent="0.35">
      <c r="A35" s="12" t="s">
        <v>1068</v>
      </c>
      <c r="B35" s="20">
        <v>424224.85999999993</v>
      </c>
      <c r="E35"/>
    </row>
    <row r="37" spans="1:5" x14ac:dyDescent="0.35">
      <c r="A37" t="s">
        <v>1189</v>
      </c>
      <c r="B37" s="20" t="s">
        <v>1190</v>
      </c>
    </row>
    <row r="38" spans="1:5" x14ac:dyDescent="0.35">
      <c r="A38" s="11">
        <v>45931</v>
      </c>
      <c r="B38" s="20">
        <v>15773.65</v>
      </c>
    </row>
    <row r="39" spans="1:5" x14ac:dyDescent="0.35">
      <c r="A39" s="11">
        <v>45933</v>
      </c>
      <c r="B39" s="20">
        <v>20851.159999999993</v>
      </c>
    </row>
    <row r="40" spans="1:5" x14ac:dyDescent="0.35">
      <c r="A40" s="11">
        <v>45935</v>
      </c>
      <c r="B40" s="20">
        <v>7769.2800000000007</v>
      </c>
    </row>
    <row r="41" spans="1:5" x14ac:dyDescent="0.35">
      <c r="A41" s="11">
        <v>45937</v>
      </c>
      <c r="B41" s="20">
        <v>5928.74</v>
      </c>
    </row>
    <row r="42" spans="1:5" x14ac:dyDescent="0.35">
      <c r="A42" s="11">
        <v>45939</v>
      </c>
      <c r="B42" s="20">
        <v>11925.070000000002</v>
      </c>
    </row>
    <row r="43" spans="1:5" x14ac:dyDescent="0.35">
      <c r="A43" s="11">
        <v>45941</v>
      </c>
      <c r="B43" s="20">
        <v>6373.4500000000016</v>
      </c>
    </row>
    <row r="44" spans="1:5" x14ac:dyDescent="0.35">
      <c r="A44" s="11">
        <v>45943</v>
      </c>
      <c r="B44" s="20">
        <v>9363.33</v>
      </c>
    </row>
    <row r="45" spans="1:5" x14ac:dyDescent="0.35">
      <c r="A45" s="11">
        <v>45945</v>
      </c>
      <c r="B45" s="20">
        <v>16041.49</v>
      </c>
    </row>
    <row r="46" spans="1:5" x14ac:dyDescent="0.35">
      <c r="A46" s="11">
        <v>45947</v>
      </c>
      <c r="B46" s="20">
        <v>28401.15</v>
      </c>
    </row>
    <row r="47" spans="1:5" x14ac:dyDescent="0.35">
      <c r="A47" s="11">
        <v>45949</v>
      </c>
      <c r="B47" s="20">
        <v>9418.98</v>
      </c>
    </row>
    <row r="48" spans="1:5" x14ac:dyDescent="0.35">
      <c r="A48" s="11">
        <v>45951</v>
      </c>
      <c r="B48" s="20">
        <v>14243.050000000003</v>
      </c>
    </row>
    <row r="49" spans="1:2" x14ac:dyDescent="0.35">
      <c r="A49" s="11">
        <v>45953</v>
      </c>
      <c r="B49" s="20">
        <v>8834.090000000002</v>
      </c>
    </row>
    <row r="50" spans="1:2" x14ac:dyDescent="0.35">
      <c r="A50" s="11">
        <v>45955</v>
      </c>
      <c r="B50" s="20">
        <v>10164.480000000001</v>
      </c>
    </row>
    <row r="51" spans="1:2" x14ac:dyDescent="0.35">
      <c r="A51" s="11">
        <v>45957</v>
      </c>
      <c r="B51" s="20">
        <v>22478.97</v>
      </c>
    </row>
    <row r="52" spans="1:2" x14ac:dyDescent="0.35">
      <c r="A52" s="11">
        <v>45959</v>
      </c>
      <c r="B52" s="20">
        <v>12056.370000000003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2D64-5A48-493D-A57F-9AA0923B1F2F}">
  <dimension ref="A3:T29"/>
  <sheetViews>
    <sheetView topLeftCell="F3" zoomScale="68" zoomScaleNormal="74" workbookViewId="0">
      <selection activeCell="AB22" sqref="AB22"/>
    </sheetView>
  </sheetViews>
  <sheetFormatPr defaultRowHeight="14.5" x14ac:dyDescent="0.35"/>
  <cols>
    <col min="1" max="1" width="17.90625" bestFit="1" customWidth="1"/>
    <col min="2" max="2" width="14.7265625" bestFit="1" customWidth="1"/>
    <col min="3" max="3" width="5.7265625" customWidth="1"/>
    <col min="4" max="4" width="31.90625" customWidth="1"/>
    <col min="5" max="5" width="24.453125" customWidth="1"/>
    <col min="9" max="9" width="17.90625" bestFit="1" customWidth="1"/>
    <col min="10" max="10" width="26.08984375" customWidth="1"/>
    <col min="11" max="11" width="32.08984375" customWidth="1"/>
    <col min="14" max="14" width="26.1796875" customWidth="1"/>
    <col min="15" max="15" width="21.81640625" style="20" customWidth="1"/>
    <col min="18" max="19" width="25.81640625" customWidth="1"/>
    <col min="20" max="20" width="25" customWidth="1"/>
    <col min="21" max="21" width="8.7265625" customWidth="1"/>
  </cols>
  <sheetData>
    <row r="3" spans="1:20" x14ac:dyDescent="0.35">
      <c r="A3" s="10" t="s">
        <v>1067</v>
      </c>
      <c r="B3" t="s">
        <v>1074</v>
      </c>
      <c r="D3" s="25" t="s">
        <v>1065</v>
      </c>
      <c r="E3" s="25" t="s">
        <v>2</v>
      </c>
      <c r="I3" s="10" t="s">
        <v>1067</v>
      </c>
      <c r="J3" t="s">
        <v>1098</v>
      </c>
      <c r="K3" s="31" t="s">
        <v>1169</v>
      </c>
    </row>
    <row r="4" spans="1:20" x14ac:dyDescent="0.35">
      <c r="A4" s="12" t="s">
        <v>1076</v>
      </c>
      <c r="B4">
        <v>25</v>
      </c>
      <c r="D4" s="12" t="s">
        <v>1076</v>
      </c>
      <c r="E4">
        <v>25</v>
      </c>
      <c r="I4" s="12" t="s">
        <v>1076</v>
      </c>
      <c r="J4" s="26">
        <v>4379.7</v>
      </c>
      <c r="K4" s="28">
        <f>J4/J$14</f>
        <v>4.4939644386089592E-2</v>
      </c>
      <c r="R4" s="25" t="s">
        <v>1065</v>
      </c>
      <c r="S4" s="41" t="s">
        <v>1204</v>
      </c>
      <c r="T4" s="41" t="s">
        <v>1203</v>
      </c>
    </row>
    <row r="5" spans="1:20" x14ac:dyDescent="0.35">
      <c r="A5" s="12" t="s">
        <v>367</v>
      </c>
      <c r="B5">
        <v>80</v>
      </c>
      <c r="D5" s="12" t="s">
        <v>367</v>
      </c>
      <c r="E5">
        <v>80</v>
      </c>
      <c r="I5" s="12" t="s">
        <v>367</v>
      </c>
      <c r="J5" s="26">
        <v>7096.3</v>
      </c>
      <c r="K5" s="28">
        <f t="shared" ref="K5:K13" si="0">J5/J$14</f>
        <v>7.2814393327626917E-2</v>
      </c>
      <c r="N5" t="s">
        <v>1199</v>
      </c>
      <c r="O5" s="20">
        <f>SUM(J4:J13)</f>
        <v>97457.37999999999</v>
      </c>
      <c r="R5" s="12" t="s">
        <v>1076</v>
      </c>
      <c r="S5" s="1">
        <f>_xlfn.XLOOKUP(R5,'Categorical Sales Value'!A$4:A$17,'Categorical Sales Value'!B$4:B$17,0)</f>
        <v>87656.090000000026</v>
      </c>
      <c r="T5" s="1">
        <v>4379.7</v>
      </c>
    </row>
    <row r="6" spans="1:20" x14ac:dyDescent="0.35">
      <c r="A6" s="12" t="s">
        <v>366</v>
      </c>
      <c r="B6">
        <v>15</v>
      </c>
      <c r="D6" s="12" t="s">
        <v>1179</v>
      </c>
      <c r="E6">
        <v>15</v>
      </c>
      <c r="I6" s="12" t="s">
        <v>366</v>
      </c>
      <c r="J6" s="26">
        <v>2006.25</v>
      </c>
      <c r="K6" s="28">
        <f t="shared" si="0"/>
        <v>2.0585921763954667E-2</v>
      </c>
      <c r="N6" t="s">
        <v>1200</v>
      </c>
      <c r="O6" s="14">
        <f>J14/'Daily Revenue analysis '!H15</f>
        <v>0.22973047831284571</v>
      </c>
      <c r="R6" s="12" t="s">
        <v>367</v>
      </c>
      <c r="S6" s="42">
        <f>_xlfn.XLOOKUP(R6,'Categorical Sales Value'!A$4:A$17,'Categorical Sales Value'!B$4:B$17,0)</f>
        <v>20768.130000000005</v>
      </c>
      <c r="T6" s="1">
        <v>7096.3</v>
      </c>
    </row>
    <row r="7" spans="1:20" x14ac:dyDescent="0.35">
      <c r="A7" s="12" t="s">
        <v>364</v>
      </c>
      <c r="B7">
        <v>49</v>
      </c>
      <c r="D7" s="12" t="s">
        <v>364</v>
      </c>
      <c r="E7">
        <v>49</v>
      </c>
      <c r="I7" s="12" t="s">
        <v>364</v>
      </c>
      <c r="J7" s="26">
        <v>7284</v>
      </c>
      <c r="K7" s="28">
        <f t="shared" si="0"/>
        <v>7.4740363428608486E-2</v>
      </c>
      <c r="R7" s="12" t="s">
        <v>366</v>
      </c>
      <c r="S7" s="42">
        <f>_xlfn.XLOOKUP(R7,'Categorical Sales Value'!A$4:A$17,'Categorical Sales Value'!B$4:B$17,0)</f>
        <v>7530.95</v>
      </c>
      <c r="T7" s="1">
        <v>2006.25</v>
      </c>
    </row>
    <row r="8" spans="1:20" x14ac:dyDescent="0.35">
      <c r="A8" s="12" t="s">
        <v>365</v>
      </c>
      <c r="B8">
        <v>65</v>
      </c>
      <c r="D8" s="12" t="s">
        <v>365</v>
      </c>
      <c r="E8">
        <v>65</v>
      </c>
      <c r="I8" s="12" t="s">
        <v>365</v>
      </c>
      <c r="J8" s="26">
        <v>11063.169999999998</v>
      </c>
      <c r="K8" s="28">
        <f t="shared" si="0"/>
        <v>0.11351803219007119</v>
      </c>
      <c r="R8" s="12" t="s">
        <v>364</v>
      </c>
      <c r="S8" s="42">
        <f>_xlfn.XLOOKUP(R8,'Categorical Sales Value'!A$4:A$17,'Categorical Sales Value'!B$4:B$17,0)</f>
        <v>12331.55</v>
      </c>
      <c r="T8" s="1">
        <v>7284</v>
      </c>
    </row>
    <row r="9" spans="1:20" x14ac:dyDescent="0.35">
      <c r="A9" s="12" t="s">
        <v>361</v>
      </c>
      <c r="B9">
        <v>40</v>
      </c>
      <c r="D9" s="12" t="s">
        <v>361</v>
      </c>
      <c r="E9">
        <v>40</v>
      </c>
      <c r="I9" s="12" t="s">
        <v>361</v>
      </c>
      <c r="J9" s="26">
        <v>11404.88</v>
      </c>
      <c r="K9" s="28">
        <f t="shared" si="0"/>
        <v>0.11702428281983365</v>
      </c>
      <c r="R9" s="12" t="s">
        <v>365</v>
      </c>
      <c r="S9" s="42">
        <f>_xlfn.XLOOKUP(R9,'Categorical Sales Value'!A$4:A$17,'Categorical Sales Value'!B$4:B$17,0)</f>
        <v>25688.449999999997</v>
      </c>
      <c r="T9" s="1">
        <v>11063.169999999998</v>
      </c>
    </row>
    <row r="10" spans="1:20" x14ac:dyDescent="0.35">
      <c r="A10" s="12" t="s">
        <v>359</v>
      </c>
      <c r="B10">
        <v>8</v>
      </c>
      <c r="D10" s="12" t="s">
        <v>359</v>
      </c>
      <c r="E10">
        <v>8</v>
      </c>
      <c r="I10" s="12" t="s">
        <v>359</v>
      </c>
      <c r="J10" s="26">
        <v>6800</v>
      </c>
      <c r="K10" s="28">
        <f t="shared" si="0"/>
        <v>6.9774089966301175E-2</v>
      </c>
      <c r="R10" s="12" t="s">
        <v>361</v>
      </c>
      <c r="S10" s="42">
        <f>_xlfn.XLOOKUP(R10,'Categorical Sales Value'!A$4:A$17,'Categorical Sales Value'!B$4:B$17,0)</f>
        <v>130075.74999999999</v>
      </c>
      <c r="T10" s="1">
        <v>11404.88</v>
      </c>
    </row>
    <row r="11" spans="1:20" x14ac:dyDescent="0.35">
      <c r="A11" s="12" t="s">
        <v>368</v>
      </c>
      <c r="B11">
        <v>19</v>
      </c>
      <c r="D11" s="12" t="s">
        <v>1113</v>
      </c>
      <c r="E11">
        <v>19</v>
      </c>
      <c r="I11" s="12" t="s">
        <v>368</v>
      </c>
      <c r="J11" s="26">
        <v>4800</v>
      </c>
      <c r="K11" s="28">
        <f t="shared" si="0"/>
        <v>4.9252298799742002E-2</v>
      </c>
      <c r="R11" s="12" t="s">
        <v>359</v>
      </c>
      <c r="S11" s="42">
        <f>_xlfn.XLOOKUP(R11,'Categorical Sales Value'!A$4:A$17,'Categorical Sales Value'!B$4:B$17,0)</f>
        <v>13624.100000000002</v>
      </c>
      <c r="T11" s="1">
        <v>6800</v>
      </c>
    </row>
    <row r="12" spans="1:20" x14ac:dyDescent="0.35">
      <c r="A12" s="12" t="s">
        <v>1099</v>
      </c>
      <c r="B12">
        <v>230</v>
      </c>
      <c r="D12" s="12" t="s">
        <v>1099</v>
      </c>
      <c r="E12">
        <v>230</v>
      </c>
      <c r="I12" s="12" t="s">
        <v>1099</v>
      </c>
      <c r="J12" s="26">
        <v>41434.28</v>
      </c>
      <c r="K12" s="28">
        <f t="shared" si="0"/>
        <v>0.42515282064836962</v>
      </c>
      <c r="R12" s="12" t="s">
        <v>368</v>
      </c>
      <c r="S12" s="42">
        <f>_xlfn.XLOOKUP(R12,'Categorical Sales Value'!A$4:A$17,'Categorical Sales Value'!B$4:B$17,0)</f>
        <v>27297.650000000009</v>
      </c>
      <c r="T12" s="1">
        <v>4800</v>
      </c>
    </row>
    <row r="13" spans="1:20" x14ac:dyDescent="0.35">
      <c r="A13" s="12" t="s">
        <v>1075</v>
      </c>
      <c r="B13">
        <v>22</v>
      </c>
      <c r="D13" s="12" t="s">
        <v>1075</v>
      </c>
      <c r="E13">
        <v>22</v>
      </c>
      <c r="I13" s="12" t="s">
        <v>1075</v>
      </c>
      <c r="J13" s="26">
        <v>1188.8</v>
      </c>
      <c r="K13" s="28">
        <f t="shared" si="0"/>
        <v>1.219815266940277E-2</v>
      </c>
      <c r="R13" s="12" t="s">
        <v>360</v>
      </c>
      <c r="S13" s="42">
        <v>1722.8200000000002</v>
      </c>
      <c r="T13" s="1">
        <v>41434.28</v>
      </c>
    </row>
    <row r="14" spans="1:20" x14ac:dyDescent="0.35">
      <c r="A14" s="12" t="s">
        <v>1068</v>
      </c>
      <c r="B14">
        <v>553</v>
      </c>
      <c r="I14" s="12" t="s">
        <v>1068</v>
      </c>
      <c r="J14">
        <v>97457.37999999999</v>
      </c>
      <c r="R14" s="12" t="s">
        <v>1075</v>
      </c>
      <c r="S14" s="42">
        <f>_xlfn.XLOOKUP(R14,'Categorical Sales Value'!A$4:A$17,'Categorical Sales Value'!B$4:B$17,0)</f>
        <v>11714.390000000001</v>
      </c>
      <c r="T14" s="1">
        <v>1188.8</v>
      </c>
    </row>
    <row r="16" spans="1:20" x14ac:dyDescent="0.35">
      <c r="A16" s="16"/>
      <c r="B16" s="17"/>
      <c r="R16" s="12"/>
      <c r="S16" s="20"/>
    </row>
    <row r="17" spans="1:19" x14ac:dyDescent="0.35">
      <c r="A17" s="18"/>
      <c r="B17" s="19"/>
      <c r="K17" t="s">
        <v>1111</v>
      </c>
      <c r="R17" s="12"/>
      <c r="S17" s="20"/>
    </row>
    <row r="18" spans="1:19" x14ac:dyDescent="0.35">
      <c r="A18" s="18"/>
      <c r="B18" s="19"/>
      <c r="K18" s="14">
        <f>J10/J14</f>
        <v>6.9774089966301175E-2</v>
      </c>
      <c r="R18" s="12"/>
      <c r="S18" s="20"/>
    </row>
    <row r="19" spans="1:19" x14ac:dyDescent="0.35">
      <c r="A19" s="18"/>
      <c r="B19" s="19"/>
      <c r="R19" s="12"/>
      <c r="S19" s="20"/>
    </row>
    <row r="20" spans="1:19" x14ac:dyDescent="0.35">
      <c r="A20" s="18"/>
      <c r="B20" s="19"/>
      <c r="K20" t="s">
        <v>1112</v>
      </c>
      <c r="R20" s="12"/>
      <c r="S20" s="20"/>
    </row>
    <row r="21" spans="1:19" x14ac:dyDescent="0.35">
      <c r="A21" s="18"/>
      <c r="B21" s="19"/>
      <c r="K21" s="14">
        <f>J13/J14</f>
        <v>1.219815266940277E-2</v>
      </c>
      <c r="R21" s="12"/>
      <c r="S21" s="20"/>
    </row>
    <row r="22" spans="1:19" x14ac:dyDescent="0.35">
      <c r="A22" s="19"/>
      <c r="B22" s="19"/>
      <c r="R22" s="12"/>
      <c r="S22" s="20"/>
    </row>
    <row r="23" spans="1:19" x14ac:dyDescent="0.35">
      <c r="R23" s="12"/>
      <c r="S23" s="20"/>
    </row>
    <row r="24" spans="1:19" x14ac:dyDescent="0.35">
      <c r="R24" s="12"/>
      <c r="S24" s="20"/>
    </row>
    <row r="25" spans="1:19" x14ac:dyDescent="0.35">
      <c r="R25" s="12"/>
      <c r="S25" s="20"/>
    </row>
    <row r="26" spans="1:19" x14ac:dyDescent="0.35">
      <c r="R26" s="12"/>
      <c r="S26" s="20"/>
    </row>
    <row r="27" spans="1:19" x14ac:dyDescent="0.35">
      <c r="R27" s="12"/>
      <c r="S27" s="20"/>
    </row>
    <row r="28" spans="1:19" x14ac:dyDescent="0.35">
      <c r="R28" s="12"/>
      <c r="S28" s="20"/>
    </row>
    <row r="29" spans="1:19" x14ac:dyDescent="0.35">
      <c r="R29" s="12"/>
      <c r="S29" s="20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 Sales</vt:lpstr>
      <vt:lpstr>Raw Data Expiry Date</vt:lpstr>
      <vt:lpstr>Sheet6</vt:lpstr>
      <vt:lpstr>Cleaned data Sales</vt:lpstr>
      <vt:lpstr>Cleaned data Expiry</vt:lpstr>
      <vt:lpstr>Analysis I</vt:lpstr>
      <vt:lpstr>Analysis II</vt:lpstr>
      <vt:lpstr>Analysis III</vt:lpstr>
      <vt:lpstr>Categorical Sales Value</vt:lpstr>
      <vt:lpstr>Daily Revenue analysis </vt:lpstr>
      <vt:lpstr>Expiry products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riddhi2721@outlook.com</dc:creator>
  <cp:lastModifiedBy>riddhi2721@outlook.com</cp:lastModifiedBy>
  <dcterms:created xsi:type="dcterms:W3CDTF">2025-11-04T07:18:40Z</dcterms:created>
  <dcterms:modified xsi:type="dcterms:W3CDTF">2026-02-16T11:47:36Z</dcterms:modified>
</cp:coreProperties>
</file>